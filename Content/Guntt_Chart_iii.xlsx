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showObjects="none" filterPrivacy="1" codeName="ThisWorkbook"/>
  <xr:revisionPtr revIDLastSave="6" documentId="8_{80C20573-E1D6-4A5E-BEF9-BD9B0AA8636D}" xr6:coauthVersionLast="47" xr6:coauthVersionMax="47" xr10:uidLastSave="{9032B307-AB7D-4148-BD4C-3D4101FE65BD}"/>
  <bookViews>
    <workbookView xWindow="-105" yWindow="0" windowWidth="26010" windowHeight="20985" xr2:uid="{00000000-000D-0000-FFFF-FFFF00000000}"/>
  </bookViews>
  <sheets>
    <sheet name="Projektplan" sheetId="11" r:id="rId1"/>
    <sheet name="Anforderungen" sheetId="13" r:id="rId2"/>
    <sheet name="Info" sheetId="12" r:id="rId3"/>
  </sheets>
  <definedNames>
    <definedName name="Anzeigewoche">Projektplan!$E$4</definedName>
    <definedName name="_xlnm.Print_Titles" localSheetId="0">Projektplan!$4:$6</definedName>
    <definedName name="Heute" localSheetId="0">TODAY()</definedName>
    <definedName name="Projektanfang">Projektplan!$E$3</definedName>
    <definedName name="task_end" localSheetId="0">Projektplan!$F1</definedName>
    <definedName name="task_progress" localSheetId="0">Projektplan!$D1</definedName>
    <definedName name="task_start" localSheetId="0">Projektplan!$E1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3" i="13" l="1"/>
  <c r="I4" i="13"/>
  <c r="I5" i="13"/>
  <c r="I6" i="13"/>
  <c r="I7" i="13"/>
  <c r="I8" i="13"/>
  <c r="I9" i="13"/>
  <c r="I10" i="13"/>
  <c r="I11" i="13"/>
  <c r="I12" i="13"/>
  <c r="I13" i="13"/>
  <c r="I14" i="13"/>
  <c r="I15" i="13"/>
  <c r="I16" i="13"/>
  <c r="I17" i="13"/>
  <c r="I18" i="13"/>
  <c r="I19" i="13"/>
  <c r="I20" i="13"/>
  <c r="I21" i="13"/>
  <c r="I22" i="13"/>
  <c r="I23" i="13"/>
  <c r="I24" i="13"/>
  <c r="I25" i="13"/>
  <c r="I26" i="13"/>
  <c r="I27" i="13"/>
  <c r="I2" i="13"/>
  <c r="E28" i="13"/>
  <c r="G27" i="13"/>
  <c r="G3" i="13"/>
  <c r="G4" i="13"/>
  <c r="G5" i="13"/>
  <c r="G6" i="13"/>
  <c r="G7" i="13"/>
  <c r="G8" i="13"/>
  <c r="G9" i="13"/>
  <c r="G10" i="13"/>
  <c r="G11" i="13"/>
  <c r="G12" i="13"/>
  <c r="G13" i="13"/>
  <c r="G14" i="13"/>
  <c r="G15" i="13"/>
  <c r="G16" i="13"/>
  <c r="G17" i="13"/>
  <c r="G18" i="13"/>
  <c r="G19" i="13"/>
  <c r="G20" i="13"/>
  <c r="G21" i="13"/>
  <c r="G22" i="13"/>
  <c r="G23" i="13"/>
  <c r="G24" i="13"/>
  <c r="G25" i="13"/>
  <c r="G26" i="13"/>
  <c r="G2" i="13"/>
  <c r="H7" i="11"/>
  <c r="I28" i="13" l="1"/>
  <c r="I29" i="13" s="1"/>
  <c r="G28" i="13"/>
  <c r="G29" i="13" s="1"/>
  <c r="E29" i="13"/>
  <c r="E3" i="11"/>
  <c r="H26" i="11" l="1"/>
  <c r="H49" i="11"/>
  <c r="H48" i="11"/>
  <c r="H40" i="11"/>
  <c r="H39" i="11"/>
  <c r="H38" i="11"/>
  <c r="H37" i="11"/>
  <c r="H35" i="11"/>
  <c r="H25" i="11"/>
  <c r="H24" i="11"/>
  <c r="H15" i="11"/>
  <c r="H8" i="11"/>
  <c r="H9" i="11" l="1"/>
  <c r="H36" i="11" l="1"/>
  <c r="H34" i="11"/>
  <c r="H10" i="11"/>
  <c r="H27" i="11"/>
  <c r="H16" i="11"/>
  <c r="H14" i="11"/>
  <c r="H28" i="11" l="1"/>
  <c r="H17" i="11"/>
  <c r="H11" i="11"/>
  <c r="H12" i="11"/>
  <c r="H23" i="11" l="1"/>
  <c r="H19" i="11"/>
  <c r="H18" i="11"/>
</calcChain>
</file>

<file path=xl/sharedStrings.xml><?xml version="1.0" encoding="utf-8"?>
<sst xmlns="http://schemas.openxmlformats.org/spreadsheetml/2006/main" count="250" uniqueCount="187">
  <si>
    <t>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</si>
  <si>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iii</t>
  </si>
  <si>
    <t>Geben Sie den Firmennamen in Zelle B2 ein.</t>
  </si>
  <si>
    <t>Geben Sie den Namen des Projektleiters in Zelle B3 ein. Geben Sie das Startdatum für das Projekt in Zelle E3 ein. Start des Projekts: Die Bezeichnung steht in Zelle C3.</t>
  </si>
  <si>
    <t>Projektanfang:</t>
  </si>
  <si>
    <t>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</si>
  <si>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Anzeigewoche:</t>
  </si>
  <si>
    <t>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</si>
  <si>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</si>
  <si>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AUFGABE</t>
  </si>
  <si>
    <t>ZUGEWIESEN
AN</t>
  </si>
  <si>
    <t>FORTSCHRITT</t>
  </si>
  <si>
    <t>START</t>
  </si>
  <si>
    <t>ENDE</t>
  </si>
  <si>
    <t>TAGE</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</si>
  <si>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</si>
  <si>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</si>
  <si>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Projektfundament &amp; Systembasis</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</si>
  <si>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</si>
  <si>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Projektstruktur</t>
  </si>
  <si>
    <t>L</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</si>
  <si>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</si>
  <si>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DB‑Schema</t>
  </si>
  <si>
    <t>PHP‑Grundgerüst</t>
  </si>
  <si>
    <t>Docker‑Basis</t>
  </si>
  <si>
    <t>DB-Container Volume</t>
  </si>
  <si>
    <t>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</si>
  <si>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Raspberry-Pi Setup</t>
  </si>
  <si>
    <t>User‑ &amp; Admin‑Funktionen</t>
  </si>
  <si>
    <t>Upload-Handling</t>
  </si>
  <si>
    <t>DB-Insert</t>
  </si>
  <si>
    <t>User-UI Layout</t>
  </si>
  <si>
    <t>U</t>
  </si>
  <si>
    <t>Template-Auswahl</t>
  </si>
  <si>
    <t>Titelblock für Beispielphase</t>
  </si>
  <si>
    <t>Highlight-Formular</t>
  </si>
  <si>
    <t>Admin-UI Layout</t>
  </si>
  <si>
    <t>Review-Seite</t>
  </si>
  <si>
    <t>Status-Anzeige</t>
  </si>
  <si>
    <t>Monitor‑System &amp; Raspberry‑Tests</t>
  </si>
  <si>
    <t>Monitor-Seite</t>
  </si>
  <si>
    <t>DB-Query</t>
  </si>
  <si>
    <t>Auto-Refresh</t>
  </si>
  <si>
    <t>Slideshow</t>
  </si>
  <si>
    <t>Dies ist eine leere Zeile.</t>
  </si>
  <si>
    <t>Monitor-UI</t>
  </si>
  <si>
    <t>Diese Zeile kennzeichnet das Ende des Projektplans. Geben Sie in dieser Zeile NICHTS EIN. 
Fügen Sie ÜBER dieser Zeile neue Zeilen ein, um mit der Erstellung Ihres Projektplans fortzufahren.</t>
  </si>
  <si>
    <t>Animationen</t>
  </si>
  <si>
    <t>Optimierungen</t>
  </si>
  <si>
    <t>Pi Container Deploy</t>
  </si>
  <si>
    <t>Pi Slideshow Test</t>
  </si>
  <si>
    <t>Pi DB-Test</t>
  </si>
  <si>
    <t>Integration, Tests &amp; Deployment</t>
  </si>
  <si>
    <t>End-to-End-Test</t>
  </si>
  <si>
    <t>Fehlerbehebung</t>
  </si>
  <si>
    <t>Sicherheitschecks</t>
  </si>
  <si>
    <t>UI-Feinschliff</t>
  </si>
  <si>
    <t>Monitor-Optimierung</t>
  </si>
  <si>
    <t>Bugfixing</t>
  </si>
  <si>
    <t>Docker-Umzug Nux</t>
  </si>
  <si>
    <t>DB-Setup</t>
  </si>
  <si>
    <t>Finaltests</t>
  </si>
  <si>
    <t>UI-Finalisierung</t>
  </si>
  <si>
    <t>Präsentation</t>
  </si>
  <si>
    <t>Dokumentation</t>
  </si>
  <si>
    <t>Neue Zeilen ÜBER dieser einfügen</t>
  </si>
  <si>
    <t>Titel</t>
  </si>
  <si>
    <t>Funktionale Anforderung</t>
  </si>
  <si>
    <t>Nicht‑funktionale Anforderung (Performance / Verfügbarkeit / Sicherheit)</t>
  </si>
  <si>
    <t>Prio</t>
  </si>
  <si>
    <t>Das System muss eine klar definierte Projektstruktur besitzen, die Frontend, Backend und Datenbank trennt.</t>
  </si>
  <si>
    <t>Gute Wartbarkeit, klare Modultrennung, geringe Kopplung</t>
  </si>
  <si>
    <t>Hoch</t>
  </si>
  <si>
    <t>Erweiterbarkeit</t>
  </si>
  <si>
    <t>Die Architektur muss so aufgebaut sein, dass neue Module leicht ergänzt werden können.</t>
  </si>
  <si>
    <t>Hohe Skalierbarkeit (alle Abteilungen), modulare Erweiterbarkeit</t>
  </si>
  <si>
    <t>Niedrig</t>
  </si>
  <si>
    <t>Performante DB‑Zugriffe, stabile DB‑Verfügbarkeit, Opensorce</t>
  </si>
  <si>
    <t>Das DB‑Schema muss Tabellen für Abteilung, Highlight, Ranking, Admin enthalten.</t>
  </si>
  <si>
    <t>Optimierte Abfragen, Index‑Nutzung, Datenkonsistenz</t>
  </si>
  <si>
    <t>Persistenz</t>
  </si>
  <si>
    <t>Daten müssen dauerhaft gespeichert werden (DB‑Volume).</t>
  </si>
  <si>
    <t>Hohe Datensicherheit, Ausfallschutz durch persistente Volumes</t>
  </si>
  <si>
    <t>Docker‑Container</t>
  </si>
  <si>
    <t>Das System muss vollständig in Docker‑Containern laufen (Webserver, DB).</t>
  </si>
  <si>
    <t>Hohe Verfügbarkeit durch Container‑Isolation, schnelle Deployments</t>
  </si>
  <si>
    <t>Raspberry‑Pi Deployment</t>
  </si>
  <si>
    <t>Das System muss auf einem Raspberry‑Pi lauffähig sein.</t>
  </si>
  <si>
    <t>Ressourcenoptimiert, stabile Laufzeit, ähnliches system nux</t>
  </si>
  <si>
    <t>Slideshow‑Fähigkeit</t>
  </si>
  <si>
    <t>Der Raspberry‑Pi muss Inhalte als Slideshow anzeigen können.</t>
  </si>
  <si>
    <t>Flüssige Darstellung, geringe Intervalle beim Bildwechsel</t>
  </si>
  <si>
    <t>Mittel</t>
  </si>
  <si>
    <t>Highlight‑Formular</t>
  </si>
  <si>
    <t>User müssen Inhalte über ein Formular einreichen können.</t>
  </si>
  <si>
    <t>Validierung, sichere Übertragung, schnelle Verarbeitung</t>
  </si>
  <si>
    <t>Upload‑Handling Admin</t>
  </si>
  <si>
    <t>Sichere Upload‑Validierung, Schutz vor Malware, stabile Upload‑Performance</t>
  </si>
  <si>
    <t>User‑UI Layout</t>
  </si>
  <si>
    <t>Das User‑Interface muss modern, responsiv und klar strukturiert sein.</t>
  </si>
  <si>
    <t>gute UX</t>
  </si>
  <si>
    <t>Template‑Auswahl</t>
  </si>
  <si>
    <t>User müssen Templates auswählen können.</t>
  </si>
  <si>
    <t>Schnelle Template‑Ladezeiten, stabile UI‑Verfügbarkeit</t>
  </si>
  <si>
    <t>Admin‑Login</t>
  </si>
  <si>
    <t>Admins müssen sich sicher anmelden können.</t>
  </si>
  <si>
    <t>Starke Authentifizierung, Schutz vor Brute‑Force, sichere Sessions</t>
  </si>
  <si>
    <t>Liste</t>
  </si>
  <si>
    <t>Admins müssen alle eingereichten Inhalte in einer Liste sehen können.</t>
  </si>
  <si>
    <t>Schnelle Listen‑Ladezeiten, konsistente Daten</t>
  </si>
  <si>
    <t>Freigeben/Ablehnen</t>
  </si>
  <si>
    <t>Admins müssen Inhalte mit einem Klick freigeben oder ablehnen können.</t>
  </si>
  <si>
    <t>Sofortige Verarbeitung</t>
  </si>
  <si>
    <t>Admin‑UI Layout</t>
  </si>
  <si>
    <t>Das Admin‑UI muss eine klare Übersicht über alle Inhalte bieten.</t>
  </si>
  <si>
    <t>Gute Performance bei vielen Einträgen, stabile UI</t>
  </si>
  <si>
    <t>Review‑Seite</t>
  </si>
  <si>
    <t>Admins müssen Details einer Einreichung prüfen können.</t>
  </si>
  <si>
    <t>Schnelle Detailansicht, sichere Datenübertragung</t>
  </si>
  <si>
    <t>Auto‑Refresh</t>
  </si>
  <si>
    <t>Die Monitor‑Seite muss sich automatisch aktualisieren.</t>
  </si>
  <si>
    <t>Effiziente Abfragen, geringe Serverlast, hohe Verfügbarkeit</t>
  </si>
  <si>
    <t>DB‑Query</t>
  </si>
  <si>
    <t>Das System muss Inhalte effizient abrufen und filtern können.</t>
  </si>
  <si>
    <t>Optimierte Queries, Indexe, schnelle Antwortzeiten</t>
  </si>
  <si>
    <t>Logging</t>
  </si>
  <si>
    <t>Wichtige Aktionen müssen protokolliert werden.</t>
  </si>
  <si>
    <t>Sichere Log‑Speicherung, keine Performance‑Einbrüche</t>
  </si>
  <si>
    <t>Input‑Validation</t>
  </si>
  <si>
    <t>Das System muss Eingaben validieren, um Sicherheitsrisiken zu vermeiden.</t>
  </si>
  <si>
    <t>Schutz vor Injection, sichere Eingaben, stabile Verarbeitung</t>
  </si>
  <si>
    <t>Authentifizierung</t>
  </si>
  <si>
    <t>Das System muss sichere Authentifizierung bieten.</t>
  </si>
  <si>
    <t>Passwort‑Hashing, Session‑Sicherheit, hohe Verfügbarkeit</t>
  </si>
  <si>
    <t>Fehlerbehandlung</t>
  </si>
  <si>
    <t>Das System muss Fehlerzustände erkennen und klar anzeigen.</t>
  </si>
  <si>
    <t>Stabile Fehlerbehandlung, keine Systemabbrüche</t>
  </si>
  <si>
    <t>Vor Deployment müssen alle Funktionen getestet und dokumentiert sein.</t>
  </si>
  <si>
    <t>Hohe Qualität, stabile Releases</t>
  </si>
  <si>
    <t>Technische Dokumentation</t>
  </si>
  <si>
    <t>Das System muss eine technische Dokumentation enthalten.</t>
  </si>
  <si>
    <t>Gute Wartbarkeit, klare Struktur</t>
  </si>
  <si>
    <t>User‑Dokumentation</t>
  </si>
  <si>
    <t>Das System muss eine kurze User‑Dokumentation enthalten.</t>
  </si>
  <si>
    <t>Hohe Usability, klare Anleitungen</t>
  </si>
  <si>
    <t>Rang</t>
  </si>
  <si>
    <t xml:space="preserve">Vergleichbare Software </t>
  </si>
  <si>
    <t>link</t>
  </si>
  <si>
    <t>Kosten</t>
  </si>
  <si>
    <t>yodeck</t>
  </si>
  <si>
    <t>The Best Digital Signage Software in 2026 | Yodeck</t>
  </si>
  <si>
    <t>free</t>
  </si>
  <si>
    <t xml:space="preserve">Free Digital Signage </t>
  </si>
  <si>
    <t>Free Digital Signage Software: First 3 Screens Free Forever</t>
  </si>
  <si>
    <t>Xibo</t>
  </si>
  <si>
    <t>Xibo CMS – Digital Signage Content Management System</t>
  </si>
  <si>
    <t>free selfhostet</t>
  </si>
  <si>
    <t>Screencloud</t>
  </si>
  <si>
    <t>ScreenCloud – Digital Signage Software for Any Screen or TV</t>
  </si>
  <si>
    <t>20€/ Bildschirm/ Monat</t>
  </si>
  <si>
    <t>EINFACHES GANTT-DIAGRAMM von Vertex42.com</t>
  </si>
  <si>
    <t>https://www.vertex42.com/ExcelTemplates/simple-gantt-chart.html</t>
  </si>
  <si>
    <t>Über diese Vorlage</t>
  </si>
  <si>
    <t>Diese Vorlage bietet eine einfache Möglichkeit, ein Gantt-Diagramm zu erstellen, um Ihr Projekt zu visualisieren und seine Nachverfolgung zu erleichtern. Geben Sie einfach Ihre Aufgaben sowie das Start- und Enddatum ein; es sind keine Formeln erforderlich. Die Balken im Gantt-Diagramm stellen die Dauer der Aufgabe dar und werden mithilfe bedingtes Formatierungen angezeigt. Fügen Sie neue Aufgaben ein, indem Sie neue Zeilen einfügen.</t>
  </si>
  <si>
    <t>Leitfaden für die Sprachausgabe</t>
  </si>
  <si>
    <t>Diese Arbeitsmappe enthält 2 Arbeitsblätter. 
Arbeitszeittabelle
Info
Die Anweisungen für jedes Arbeitsblatt befinden sich in Spalte A ab Zelle A1 der einzelnen Arbeitsblätter. Sie sind in verborgenem Text geschrieben. Jeder Schritt führt Sie durch die Informationen in der betreffenden Zeile. Jeder nachfolgende Schritt fährt in den Zellen A2, A3 usw. fort, sofern nicht ausdrücklich anders angegeben. Beispielsweise kann der Anweisungstext etwa für den nächsten Schritt "Mit Zelle 6 fortfahren" besagen. 
Dieser verborgene Text wird nicht gedruckt.
Um diese Anweisungen aus dem Arbeitsblatt zu entfernen, löschen Sie einfach Spalte A.</t>
  </si>
  <si>
    <t>Weitere Hilfe</t>
  </si>
  <si>
    <t>Klicken Sie auf den Link unten, um zu vertex42.com zu gehen und mehr über die Verwendung dieser Vorlage zu erfahren, z. B. wie Tage und Arbeitstage berechnet werden, wie Aufgabenabhängigkeiten erstellt werden, wie die Farben der Balken geändert werden, wie eine Bildlaufleiste hinzugefügt wird, um die Anzeigewoche einfacher zu ändern, wie der in dem Diagramm angezeigte Datumsbereich geändert wird usw.</t>
  </si>
  <si>
    <t>Verwenden des einfachen Gantt-Diagramms</t>
  </si>
  <si>
    <t>Weitere Projektmanagementvorlagen</t>
  </si>
  <si>
    <t>Rufen Sie Vertex42.com auf, um weitere Projektmanagementvorlagen herunterzuladen, einschließlich unterschiedlicher Typen von Projektplänen, Gantt-Diagramme, Aufgabenlisten usw.</t>
  </si>
  <si>
    <t>Projektmanagementvorlagen</t>
  </si>
  <si>
    <t>Informationen zu Vertex42</t>
  </si>
  <si>
    <t>Vertex42.com bietet mehr als 300 professionell entworfene Tabellenkalkulationsvorlagen für die Nutzung im Geschäft, zu Hause und in Bildungseinrichtungen – die meisten können Sie kostenlos herunterladen. Die Sammlung beinhaltet eine Vielzahl von Kalendern, Planern und Zeitplänen sowie Tabellen für die private Finanzkalkulation zur Erstellung von Budgets, Reduzierung von Belastungen und Amortisation von Darlehen.</t>
  </si>
  <si>
    <t>Unternehmen werden bei Rechnungen, Arbeitszeittabellen, Bestandstrackern, Geschäftsberichten und Vorlagen für die Projektplanung fündig. Lehrer und Schüler finden Ressourcen wie Stundenpläne, Klassenbücher und Teilnahmebögen. Organisieren Sie Ihr Familienleben mit Speiseplänen, Checklisten und Übungsprotokollen. Jede Vorlage wurde gründlich recherchiert, verfeinert und im Lauf der Zeit anhand des Feedbacks von Tausenden von Benutzern verbessert.</t>
  </si>
  <si>
    <t xml:space="preserve">3 Stk. for free SignStudio-&gt; Sign Player on a Rasberry </t>
  </si>
  <si>
    <t>Bewertung</t>
  </si>
  <si>
    <t>Entwicklung</t>
  </si>
  <si>
    <t>Entwicklung Punkte</t>
  </si>
  <si>
    <t xml:space="preserve">3$/Screen </t>
  </si>
  <si>
    <t>Free Digital Signage  Punkte</t>
  </si>
  <si>
    <t>9$ per Month</t>
  </si>
  <si>
    <t>Summe</t>
  </si>
  <si>
    <t>Prozent</t>
  </si>
  <si>
    <t>DB verwenden</t>
  </si>
  <si>
    <t>Das System muss eine DB‑Datenbank nutzen.</t>
  </si>
  <si>
    <t>User müssen Dateien oder Inhalte uploaden können; Uploads müssen validiert werden.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</si>
</sst>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dd\,\ d/m/yyyy"/>
    <numFmt numFmtId="168" formatCode="d/\ mmm\ yyyy"/>
    <numFmt numFmtId="169" formatCode="dd/mm\ h"/>
    <numFmt numFmtId="170" formatCode="h"/>
    <numFmt numFmtId="171" formatCode="dd/mm/\ h"/>
  </numFmts>
  <fonts count="39"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u/>
      <sz val="11"/>
      <color theme="10"/>
      <name val="Calibri"/>
      <family val="2"/>
      <scheme val="minor"/>
    </font>
    <font>
      <u/>
      <sz val="11"/>
      <color indexed="12"/>
      <name val="Arial"/>
    </font>
    <font>
      <b/>
      <sz val="11"/>
      <color rgb="FF000000"/>
      <name val="Calibri"/>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5">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6"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4"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5" fillId="0" borderId="0" applyNumberFormat="0" applyFill="0" applyBorder="0" applyAlignment="0" applyProtection="0"/>
    <xf numFmtId="0" fontId="26" fillId="14" borderId="0" applyNumberFormat="0" applyBorder="0" applyAlignment="0" applyProtection="0"/>
    <xf numFmtId="0" fontId="27" fillId="15" borderId="0" applyNumberFormat="0" applyBorder="0" applyAlignment="0" applyProtection="0"/>
    <xf numFmtId="0" fontId="28" fillId="16" borderId="0" applyNumberFormat="0" applyBorder="0" applyAlignment="0" applyProtection="0"/>
    <xf numFmtId="0" fontId="29" fillId="17" borderId="11" applyNumberFormat="0" applyAlignment="0" applyProtection="0"/>
    <xf numFmtId="0" fontId="30" fillId="18" borderId="12" applyNumberFormat="0" applyAlignment="0" applyProtection="0"/>
    <xf numFmtId="0" fontId="31" fillId="18" borderId="11" applyNumberFormat="0" applyAlignment="0" applyProtection="0"/>
    <xf numFmtId="0" fontId="32" fillId="0" borderId="13" applyNumberFormat="0" applyFill="0" applyAlignment="0" applyProtection="0"/>
    <xf numFmtId="0" fontId="33" fillId="19" borderId="14" applyNumberFormat="0" applyAlignment="0" applyProtection="0"/>
    <xf numFmtId="0" fontId="34" fillId="0" borderId="0" applyNumberFormat="0" applyFill="0" applyBorder="0" applyAlignment="0" applyProtection="0"/>
    <xf numFmtId="0" fontId="9" fillId="20" borderId="15" applyNumberFormat="0" applyFont="0" applyAlignment="0" applyProtection="0"/>
    <xf numFmtId="0" fontId="35"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xf numFmtId="0" fontId="36" fillId="0" borderId="0" applyNumberFormat="0" applyFill="0" applyBorder="0" applyAlignment="0" applyProtection="0"/>
  </cellStyleXfs>
  <cellXfs count="10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5" fillId="0" borderId="0" xfId="0" applyFont="1" applyAlignment="1">
      <alignment vertical="top"/>
    </xf>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0" fillId="9" borderId="2" xfId="0" applyNumberFormat="1" applyFill="1" applyBorder="1" applyAlignment="1">
      <alignment horizontal="center" vertical="center"/>
    </xf>
    <xf numFmtId="166" fontId="5" fillId="9" borderId="2" xfId="0" applyNumberFormat="1" applyFont="1" applyFill="1" applyBorder="1" applyAlignment="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0" borderId="2" xfId="10">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0" fontId="36" fillId="0" borderId="0" xfId="54" applyAlignment="1" applyProtection="1">
      <alignment vertical="top"/>
    </xf>
    <xf numFmtId="169" fontId="9" fillId="3" borderId="2" xfId="10" applyNumberFormat="1" applyFill="1">
      <alignment horizontal="center" vertical="center"/>
    </xf>
    <xf numFmtId="170" fontId="11" fillId="7" borderId="6" xfId="0" applyNumberFormat="1" applyFont="1" applyFill="1" applyBorder="1" applyAlignment="1">
      <alignment horizontal="center" vertical="center"/>
    </xf>
    <xf numFmtId="170" fontId="12" fillId="12" borderId="8" xfId="0" applyNumberFormat="1" applyFont="1" applyFill="1" applyBorder="1" applyAlignment="1">
      <alignment horizontal="center" vertical="center" shrinkToFit="1"/>
    </xf>
    <xf numFmtId="171" fontId="9" fillId="4" borderId="2" xfId="10" applyNumberFormat="1" applyFill="1">
      <alignment horizontal="center" vertical="center"/>
    </xf>
    <xf numFmtId="171" fontId="9" fillId="11" borderId="2" xfId="10" applyNumberFormat="1" applyFill="1">
      <alignment horizontal="center" vertical="center"/>
    </xf>
    <xf numFmtId="171" fontId="9" fillId="10" borderId="2" xfId="10" applyNumberFormat="1" applyFill="1">
      <alignment horizontal="center" vertical="center"/>
    </xf>
    <xf numFmtId="0" fontId="6" fillId="0" borderId="0" xfId="0" applyFont="1" applyAlignment="1">
      <alignment horizontal="center" vertical="center" wrapText="1"/>
    </xf>
    <xf numFmtId="0" fontId="0" fillId="0" borderId="0" xfId="0" applyAlignment="1">
      <alignment vertical="center" wrapText="1"/>
    </xf>
    <xf numFmtId="0" fontId="36" fillId="0" borderId="0" xfId="54"/>
    <xf numFmtId="0" fontId="37" fillId="0" borderId="0" xfId="54" applyFont="1"/>
    <xf numFmtId="0" fontId="6" fillId="0" borderId="0" xfId="0" applyFont="1"/>
    <xf numFmtId="0" fontId="38" fillId="0" borderId="0" xfId="0" applyFont="1"/>
    <xf numFmtId="0" fontId="9" fillId="0" borderId="0" xfId="8">
      <alignment horizontal="right" indent="1"/>
    </xf>
    <xf numFmtId="0" fontId="9" fillId="0" borderId="7" xfId="8" applyBorder="1">
      <alignment horizontal="right" indent="1"/>
    </xf>
    <xf numFmtId="168" fontId="0" fillId="7" borderId="4" xfId="0" applyNumberFormat="1" applyFill="1" applyBorder="1" applyAlignment="1">
      <alignment horizontal="left" vertical="center" wrapText="1" indent="1"/>
    </xf>
    <xf numFmtId="168" fontId="0" fillId="7" borderId="1" xfId="0" applyNumberFormat="1" applyFill="1" applyBorder="1" applyAlignment="1">
      <alignment horizontal="left" vertical="center" wrapText="1" indent="1"/>
    </xf>
    <xf numFmtId="168" fontId="0" fillId="7" borderId="5" xfId="0" applyNumberFormat="1" applyFill="1" applyBorder="1" applyAlignment="1">
      <alignment horizontal="left" vertical="center" wrapText="1" indent="1"/>
    </xf>
    <xf numFmtId="167" fontId="9" fillId="0" borderId="3" xfId="9">
      <alignment horizontal="center" vertical="center"/>
    </xf>
    <xf numFmtId="0" fontId="0" fillId="0" borderId="0" xfId="0" applyAlignment="1">
      <alignment horizontal="center" vertical="center" wrapText="1"/>
    </xf>
    <xf numFmtId="0" fontId="6" fillId="0" borderId="0" xfId="0" applyFont="1" applyAlignment="1">
      <alignment horizontal="center" vertical="center"/>
    </xf>
    <xf numFmtId="10" fontId="0" fillId="0" borderId="0" xfId="0" applyNumberFormat="1"/>
    <xf numFmtId="0" fontId="0" fillId="0" borderId="0" xfId="0" applyFill="1" applyAlignment="1">
      <alignment vertical="center" wrapText="1"/>
    </xf>
  </cellXfs>
  <cellStyles count="55">
    <cellStyle name="20 % - Akzent1" xfId="31" builtinId="30" customBuiltin="1"/>
    <cellStyle name="20 % - Akzent2" xfId="35" builtinId="34" customBuiltin="1"/>
    <cellStyle name="20 % - Akzent3" xfId="39" builtinId="38" customBuiltin="1"/>
    <cellStyle name="20 % - Akzent4" xfId="43" builtinId="42" customBuiltin="1"/>
    <cellStyle name="20 % - Akzent5" xfId="47" builtinId="46" customBuiltin="1"/>
    <cellStyle name="20 % - Akzent6" xfId="51" builtinId="50" customBuiltin="1"/>
    <cellStyle name="40 % - Akzent1" xfId="32" builtinId="31" customBuiltin="1"/>
    <cellStyle name="40 % - Akzent2" xfId="36" builtinId="35" customBuiltin="1"/>
    <cellStyle name="40 % - Akzent3" xfId="40" builtinId="39" customBuiltin="1"/>
    <cellStyle name="40 % - Akzent4" xfId="44" builtinId="43" customBuiltin="1"/>
    <cellStyle name="40 % - Akzent5" xfId="48" builtinId="47" customBuiltin="1"/>
    <cellStyle name="40 % - Akzent6" xfId="52" builtinId="51" customBuiltin="1"/>
    <cellStyle name="60 % - Akzent1" xfId="33" builtinId="32" customBuiltin="1"/>
    <cellStyle name="60 % - Akzent2" xfId="37" builtinId="36" customBuiltin="1"/>
    <cellStyle name="60 % - Akzent3" xfId="41" builtinId="40" customBuiltin="1"/>
    <cellStyle name="60 % - Akzent4" xfId="45" builtinId="44" customBuiltin="1"/>
    <cellStyle name="60 % - Akzent5" xfId="49" builtinId="48" customBuiltin="1"/>
    <cellStyle name="60 % - Akzent6" xfId="53" builtinId="52" customBuiltin="1"/>
    <cellStyle name="Akzent1" xfId="30" builtinId="29" customBuiltin="1"/>
    <cellStyle name="Akzent2" xfId="34" builtinId="33" customBuiltin="1"/>
    <cellStyle name="Akzent3" xfId="38" builtinId="37" customBuiltin="1"/>
    <cellStyle name="Akzent4" xfId="42" builtinId="41" customBuiltin="1"/>
    <cellStyle name="Akzent5" xfId="46" builtinId="45" customBuiltin="1"/>
    <cellStyle name="Akzent6" xfId="50" builtinId="49" customBuiltin="1"/>
    <cellStyle name="Aufgabe" xfId="12" xr:uid="{6391D789-272B-4DD2-9BF3-2CDCF610FA41}"/>
    <cellStyle name="Ausgabe" xfId="22" builtinId="21" customBuiltin="1"/>
    <cellStyle name="Berechnung" xfId="23" builtinId="22" customBuiltin="1"/>
    <cellStyle name="Besuchter Hyperlink" xfId="13" builtinId="9" customBuiltin="1"/>
    <cellStyle name="Datum" xfId="10" xr:uid="{229918B6-DD13-4F5A-97B9-305F7E002AA3}"/>
    <cellStyle name="Dezimal [0]" xfId="14" builtinId="6" customBuiltin="1"/>
    <cellStyle name="Eingabe" xfId="21" builtinId="20" customBuiltin="1"/>
    <cellStyle name="Ergebnis" xfId="29" builtinId="25" customBuiltin="1"/>
    <cellStyle name="Erklärender Text" xfId="28" builtinId="53" customBuiltin="1"/>
    <cellStyle name="Gut" xfId="18" builtinId="26" customBuiltin="1"/>
    <cellStyle name="Hyperlink" xfId="54" xr:uid="{00000000-000B-0000-0000-000008000000}"/>
    <cellStyle name="Komma" xfId="4" builtinId="3" customBuiltin="1"/>
    <cellStyle name="Link" xfId="1" builtinId="8" customBuiltin="1"/>
    <cellStyle name="Name" xfId="11" xr:uid="{B2D3C1EE-6B41-4801-AAFC-C2274E49E503}"/>
    <cellStyle name="Neutral" xfId="20" builtinId="28" customBuiltin="1"/>
    <cellStyle name="Notiz" xfId="27" builtinId="10" customBuiltin="1"/>
    <cellStyle name="Projektanfang" xfId="9" xr:uid="{8EB8A09A-C31C-40A3-B2C1-9449520178B8}"/>
    <cellStyle name="Prozent" xfId="2" builtinId="5" customBuiltin="1"/>
    <cellStyle name="Schlecht" xfId="19" builtinId="27" customBuiltin="1"/>
    <cellStyle name="Standard" xfId="0" builtinId="0" customBuiltin="1"/>
    <cellStyle name="Überschrift" xfId="5" builtinId="15" customBuiltin="1"/>
    <cellStyle name="Überschrift 1" xfId="6" builtinId="16" customBuiltin="1"/>
    <cellStyle name="Überschrift 2" xfId="7" builtinId="17" customBuiltin="1"/>
    <cellStyle name="Überschrift 3" xfId="8" builtinId="18" customBuiltin="1"/>
    <cellStyle name="Überschrift 4" xfId="17" builtinId="19" customBuiltin="1"/>
    <cellStyle name="Verknüpfte Zelle" xfId="24" builtinId="24" customBuiltin="1"/>
    <cellStyle name="Währung" xfId="15" builtinId="4" customBuiltin="1"/>
    <cellStyle name="Währung [0]" xfId="16" builtinId="7" customBuiltin="1"/>
    <cellStyle name="Warnender Text" xfId="26" builtinId="11" customBuiltin="1"/>
    <cellStyle name="zAusgeblText" xfId="3" xr:uid="{26E66EE6-E33F-4D77-BAE4-0FB4F5BBF673}"/>
    <cellStyle name="Zelle überprüfen" xfId="25" builtinId="23" customBuiltin="1"/>
  </cellStyles>
  <dxfs count="13">
    <dxf>
      <fill>
        <patternFill>
          <bgColor rgb="FFC00000"/>
        </patternFill>
      </fill>
    </dxf>
    <dxf>
      <fill>
        <patternFill>
          <bgColor theme="7"/>
        </patternFill>
      </fill>
      <border>
        <left/>
        <right/>
      </border>
    </dxf>
    <dxf>
      <border>
        <left style="thin">
          <color rgb="FFC00000"/>
        </left>
        <right style="thin">
          <color rgb="FFC00000"/>
        </right>
        <vertical/>
        <horizontal/>
      </border>
    </dxf>
    <dxf>
      <fill>
        <patternFill>
          <bgColor rgb="FFC00000"/>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Aufgabenliste" pivot="0" count="9" xr9:uid="{00000000-0011-0000-FFFF-FFFF00000000}">
      <tableStyleElement type="wholeTable" dxfId="12"/>
      <tableStyleElement type="headerRow" dxfId="11"/>
      <tableStyleElement type="totalRow" dxfId="10"/>
      <tableStyleElement type="firstColumn" dxfId="9"/>
      <tableStyleElement type="lastColumn" dxfId="8"/>
      <tableStyleElement type="firstRowStripe" dxfId="7"/>
      <tableStyleElement type="secondRowStripe" dxfId="6"/>
      <tableStyleElement type="firstColumnStripe" dxfId="5"/>
      <tableStyleElement type="secondColumn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Bild 1" descr="Vertex42-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creencloud.com/" TargetMode="External"/><Relationship Id="rId2" Type="http://schemas.openxmlformats.org/officeDocument/2006/relationships/hyperlink" Target="https://xibosignage.com/cms" TargetMode="External"/><Relationship Id="rId1" Type="http://schemas.openxmlformats.org/officeDocument/2006/relationships/hyperlink" Target="https://www.yodeck.com/" TargetMode="External"/><Relationship Id="rId4" Type="http://schemas.openxmlformats.org/officeDocument/2006/relationships/hyperlink" Target="https://digitalsignage.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52"/>
  <sheetViews>
    <sheetView showGridLines="0" tabSelected="1" showRuler="0" zoomScale="90" zoomScaleNormal="90" zoomScalePageLayoutView="70" workbookViewId="0">
      <pane ySplit="6" topLeftCell="A20" activePane="bottomLeft" state="frozen"/>
      <selection pane="bottomLeft" activeCell="D26" sqref="D26"/>
    </sheetView>
  </sheetViews>
  <sheetFormatPr baseColWidth="10" defaultColWidth="9.140625" defaultRowHeight="30" customHeight="1" x14ac:dyDescent="0.25"/>
  <cols>
    <col min="1" max="1" width="2.7109375" style="45" customWidth="1"/>
    <col min="2" max="2" width="27.140625" customWidth="1"/>
    <col min="3" max="3" width="30.710937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30" customHeight="1" x14ac:dyDescent="0.45">
      <c r="A1" s="46" t="s">
        <v>0</v>
      </c>
      <c r="B1" s="49" t="s">
        <v>1</v>
      </c>
      <c r="C1" s="1"/>
      <c r="D1" s="2"/>
      <c r="E1" s="4"/>
      <c r="F1" s="34"/>
      <c r="H1" s="2"/>
      <c r="I1" s="67"/>
    </row>
    <row r="2" spans="1:64" ht="30" customHeight="1" x14ac:dyDescent="0.3">
      <c r="A2" s="45" t="s">
        <v>2</v>
      </c>
      <c r="B2" s="50"/>
      <c r="I2" s="80"/>
    </row>
    <row r="3" spans="1:64" ht="30" customHeight="1" x14ac:dyDescent="0.25">
      <c r="A3" s="45" t="s">
        <v>3</v>
      </c>
      <c r="B3" s="51"/>
      <c r="C3" s="93" t="s">
        <v>4</v>
      </c>
      <c r="D3" s="94"/>
      <c r="E3" s="98">
        <f ca="1">TODAY()</f>
        <v>46303</v>
      </c>
      <c r="F3" s="98"/>
    </row>
    <row r="4" spans="1:64" ht="30" customHeight="1" x14ac:dyDescent="0.25">
      <c r="A4" s="46" t="s">
        <v>5</v>
      </c>
      <c r="C4" s="93" t="s">
        <v>6</v>
      </c>
      <c r="D4" s="94"/>
      <c r="E4" s="7">
        <v>1</v>
      </c>
      <c r="I4" s="95">
        <v>46296</v>
      </c>
      <c r="J4" s="96"/>
      <c r="K4" s="96"/>
      <c r="L4" s="96"/>
      <c r="M4" s="96"/>
      <c r="N4" s="96"/>
      <c r="O4" s="97"/>
      <c r="P4" s="95">
        <v>46300</v>
      </c>
      <c r="Q4" s="96"/>
      <c r="R4" s="96"/>
      <c r="S4" s="96"/>
      <c r="T4" s="96"/>
      <c r="U4" s="96"/>
      <c r="V4" s="97"/>
      <c r="W4" s="95">
        <v>46301</v>
      </c>
      <c r="X4" s="96"/>
      <c r="Y4" s="96"/>
      <c r="Z4" s="96"/>
      <c r="AA4" s="96"/>
      <c r="AB4" s="96"/>
      <c r="AC4" s="97"/>
      <c r="AD4" s="95">
        <v>46302</v>
      </c>
      <c r="AE4" s="96"/>
      <c r="AF4" s="96"/>
      <c r="AG4" s="96"/>
      <c r="AH4" s="96"/>
      <c r="AI4" s="96"/>
      <c r="AJ4" s="97"/>
      <c r="AK4" s="95">
        <v>46303</v>
      </c>
      <c r="AL4" s="96"/>
      <c r="AM4" s="96"/>
      <c r="AN4" s="96"/>
      <c r="AO4" s="96"/>
      <c r="AP4" s="96"/>
      <c r="AQ4" s="97"/>
      <c r="AR4" s="95">
        <v>46304</v>
      </c>
      <c r="AS4" s="96"/>
      <c r="AT4" s="96"/>
      <c r="AU4" s="96"/>
      <c r="AV4" s="96"/>
      <c r="AW4" s="96"/>
      <c r="AX4" s="97"/>
      <c r="AY4" s="95">
        <v>46305</v>
      </c>
      <c r="AZ4" s="96"/>
      <c r="BA4" s="96"/>
      <c r="BB4" s="96"/>
      <c r="BC4" s="96"/>
      <c r="BD4" s="96"/>
      <c r="BE4" s="97"/>
      <c r="BF4" s="95">
        <v>46306</v>
      </c>
      <c r="BG4" s="96"/>
      <c r="BH4" s="96"/>
      <c r="BI4" s="96"/>
      <c r="BJ4" s="96"/>
      <c r="BK4" s="96"/>
      <c r="BL4" s="97"/>
    </row>
    <row r="5" spans="1:64" ht="15" customHeight="1" x14ac:dyDescent="0.25">
      <c r="A5" s="46" t="s">
        <v>7</v>
      </c>
      <c r="B5" s="66"/>
      <c r="C5" s="66"/>
      <c r="D5" s="66"/>
      <c r="E5" s="66"/>
      <c r="F5" s="66"/>
      <c r="G5" s="66"/>
      <c r="I5" s="82">
        <v>46296.041666666664</v>
      </c>
      <c r="J5" s="82">
        <v>46296.083333333299</v>
      </c>
      <c r="K5" s="82">
        <v>46296.125</v>
      </c>
      <c r="L5" s="82">
        <v>46296.166666666701</v>
      </c>
      <c r="M5" s="82">
        <v>46296.208333333299</v>
      </c>
      <c r="N5" s="82">
        <v>46296.25</v>
      </c>
      <c r="O5" s="82">
        <v>46296.291666666701</v>
      </c>
      <c r="P5" s="82">
        <v>46300.041666666664</v>
      </c>
      <c r="Q5" s="82">
        <v>46300.083333333299</v>
      </c>
      <c r="R5" s="82">
        <v>46300.125</v>
      </c>
      <c r="S5" s="82">
        <v>46300.166666666701</v>
      </c>
      <c r="T5" s="82">
        <v>46300.208333333299</v>
      </c>
      <c r="U5" s="82">
        <v>46300.25</v>
      </c>
      <c r="V5" s="82">
        <v>46300.291666666701</v>
      </c>
      <c r="W5" s="82">
        <v>46301.041666666664</v>
      </c>
      <c r="X5" s="82">
        <v>46301.083333333299</v>
      </c>
      <c r="Y5" s="82">
        <v>46301.125</v>
      </c>
      <c r="Z5" s="82">
        <v>46301.166666666701</v>
      </c>
      <c r="AA5" s="82">
        <v>46301.208333333299</v>
      </c>
      <c r="AB5" s="82">
        <v>46301.25</v>
      </c>
      <c r="AC5" s="82">
        <v>46301.291666666701</v>
      </c>
      <c r="AD5" s="82">
        <v>46302.041666666664</v>
      </c>
      <c r="AE5" s="82">
        <v>46302.083333333299</v>
      </c>
      <c r="AF5" s="82">
        <v>46302.125</v>
      </c>
      <c r="AG5" s="82">
        <v>46302.166666666701</v>
      </c>
      <c r="AH5" s="82">
        <v>46302.208333333299</v>
      </c>
      <c r="AI5" s="82">
        <v>46302.25</v>
      </c>
      <c r="AJ5" s="82">
        <v>46302.291666666701</v>
      </c>
      <c r="AK5" s="82">
        <v>46303.041666666664</v>
      </c>
      <c r="AL5" s="82">
        <v>46303.083333333299</v>
      </c>
      <c r="AM5" s="82">
        <v>46303.125</v>
      </c>
      <c r="AN5" s="82">
        <v>46303.166666666701</v>
      </c>
      <c r="AO5" s="82">
        <v>46303.208333333299</v>
      </c>
      <c r="AP5" s="82">
        <v>46303.25</v>
      </c>
      <c r="AQ5" s="82">
        <v>46303.291666666701</v>
      </c>
      <c r="AR5" s="82">
        <v>46304.041666666664</v>
      </c>
      <c r="AS5" s="82">
        <v>46304.083333333299</v>
      </c>
      <c r="AT5" s="82">
        <v>46304.125</v>
      </c>
      <c r="AU5" s="82">
        <v>46304.166666666701</v>
      </c>
      <c r="AV5" s="82">
        <v>46304.208333333299</v>
      </c>
      <c r="AW5" s="82">
        <v>46304.25</v>
      </c>
      <c r="AX5" s="82">
        <v>46304.291666666701</v>
      </c>
      <c r="AY5" s="82">
        <v>46305.041666666664</v>
      </c>
      <c r="AZ5" s="82">
        <v>46305.083333333299</v>
      </c>
      <c r="BA5" s="82">
        <v>46305.125</v>
      </c>
      <c r="BB5" s="82">
        <v>46305.166666666701</v>
      </c>
      <c r="BC5" s="82">
        <v>46305.208333333299</v>
      </c>
      <c r="BD5" s="82">
        <v>46305.25</v>
      </c>
      <c r="BE5" s="82">
        <v>46305.291666666701</v>
      </c>
      <c r="BF5" s="82">
        <v>46306.041666666664</v>
      </c>
      <c r="BG5" s="82">
        <v>46306.083333333299</v>
      </c>
      <c r="BH5" s="82">
        <v>46306.125</v>
      </c>
      <c r="BI5" s="82">
        <v>46306.166666666701</v>
      </c>
      <c r="BJ5" s="82">
        <v>46306.208333333299</v>
      </c>
      <c r="BK5" s="82">
        <v>46306.25</v>
      </c>
      <c r="BL5" s="82">
        <v>46306.291666666701</v>
      </c>
    </row>
    <row r="6" spans="1:64" ht="30" customHeight="1" thickBot="1" x14ac:dyDescent="0.3">
      <c r="A6" s="46" t="s">
        <v>8</v>
      </c>
      <c r="B6" s="8" t="s">
        <v>9</v>
      </c>
      <c r="C6" s="9" t="s">
        <v>10</v>
      </c>
      <c r="D6" s="9" t="s">
        <v>11</v>
      </c>
      <c r="E6" s="9" t="s">
        <v>12</v>
      </c>
      <c r="F6" s="9" t="s">
        <v>13</v>
      </c>
      <c r="G6" s="9"/>
      <c r="H6" s="9" t="s">
        <v>14</v>
      </c>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83"/>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row>
    <row r="7" spans="1:64" ht="30" hidden="1" customHeight="1" thickBot="1" x14ac:dyDescent="0.3">
      <c r="A7" s="45" t="s">
        <v>15</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3">
      <c r="A8" s="46" t="s">
        <v>16</v>
      </c>
      <c r="B8" s="15" t="s">
        <v>17</v>
      </c>
      <c r="C8" s="52"/>
      <c r="D8" s="16"/>
      <c r="E8" s="69"/>
      <c r="F8" s="70"/>
      <c r="G8" s="14"/>
      <c r="H8" s="14" t="str">
        <f t="shared" ref="H8:H49" si="0">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3">
      <c r="A9" s="46" t="s">
        <v>18</v>
      </c>
      <c r="B9" s="61" t="s">
        <v>19</v>
      </c>
      <c r="C9" s="53" t="s">
        <v>20</v>
      </c>
      <c r="D9" s="17">
        <v>0.8</v>
      </c>
      <c r="E9" s="81">
        <v>46296.041666666664</v>
      </c>
      <c r="F9" s="81">
        <v>46296.125</v>
      </c>
      <c r="G9" s="14"/>
      <c r="H9" s="14">
        <f t="shared" si="0"/>
        <v>1.0833333333357587</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3">
      <c r="A10" s="46" t="s">
        <v>21</v>
      </c>
      <c r="B10" s="61" t="s">
        <v>22</v>
      </c>
      <c r="C10" s="53" t="s">
        <v>20</v>
      </c>
      <c r="D10" s="17">
        <v>1</v>
      </c>
      <c r="E10" s="81">
        <v>46296.125</v>
      </c>
      <c r="F10" s="81">
        <v>46296.208333333336</v>
      </c>
      <c r="G10" s="14"/>
      <c r="H10" s="14">
        <f t="shared" si="0"/>
        <v>1.0833333333357587</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3">
      <c r="A11" s="45"/>
      <c r="B11" s="61" t="s">
        <v>23</v>
      </c>
      <c r="C11" s="53" t="s">
        <v>20</v>
      </c>
      <c r="D11" s="17">
        <v>1</v>
      </c>
      <c r="E11" s="81">
        <v>46296.208333333336</v>
      </c>
      <c r="F11" s="81">
        <v>46296.291666666664</v>
      </c>
      <c r="G11" s="14"/>
      <c r="H11" s="14">
        <f t="shared" si="0"/>
        <v>1.0833333333284827</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3">
      <c r="A12" s="45"/>
      <c r="B12" s="61" t="s">
        <v>24</v>
      </c>
      <c r="C12" s="53" t="s">
        <v>20</v>
      </c>
      <c r="D12" s="17">
        <v>1</v>
      </c>
      <c r="E12" s="81">
        <v>46296.041666666664</v>
      </c>
      <c r="F12" s="81">
        <v>46296.125</v>
      </c>
      <c r="G12" s="14"/>
      <c r="H12" s="14">
        <f t="shared" si="0"/>
        <v>1.0833333333357587</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3">
      <c r="A13" s="45"/>
      <c r="B13" s="64" t="s">
        <v>25</v>
      </c>
      <c r="C13" s="59" t="s">
        <v>20</v>
      </c>
      <c r="D13" s="26">
        <v>1</v>
      </c>
      <c r="E13" s="86">
        <v>46301.125</v>
      </c>
      <c r="F13" s="86">
        <v>46301.208333333336</v>
      </c>
      <c r="G13" s="14"/>
      <c r="H13" s="14"/>
      <c r="I13" s="31"/>
      <c r="J13" s="31"/>
      <c r="K13" s="31"/>
      <c r="L13" s="31"/>
      <c r="M13" s="31"/>
      <c r="N13" s="31"/>
      <c r="O13" s="31"/>
      <c r="P13" s="31"/>
      <c r="Q13" s="31"/>
      <c r="R13" s="31"/>
      <c r="S13" s="31"/>
      <c r="T13" s="31"/>
      <c r="U13" s="31"/>
      <c r="V13" s="31"/>
      <c r="W13" s="31"/>
      <c r="X13" s="31"/>
      <c r="Y13" s="32"/>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3">
      <c r="A14" s="46" t="s">
        <v>26</v>
      </c>
      <c r="B14" s="61" t="s">
        <v>27</v>
      </c>
      <c r="C14" s="53" t="s">
        <v>20</v>
      </c>
      <c r="D14" s="17">
        <v>1</v>
      </c>
      <c r="E14" s="81">
        <v>46302.125</v>
      </c>
      <c r="F14" s="81">
        <v>46302.208333333336</v>
      </c>
      <c r="G14" s="14"/>
      <c r="H14" s="14">
        <f t="shared" si="0"/>
        <v>1.0833333333357587</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3">
      <c r="A15" s="46"/>
      <c r="B15" s="18" t="s">
        <v>28</v>
      </c>
      <c r="C15" s="54"/>
      <c r="D15" s="19"/>
      <c r="E15" s="71"/>
      <c r="F15" s="72"/>
      <c r="G15" s="14"/>
      <c r="H15" s="14" t="str">
        <f t="shared" si="0"/>
        <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3">
      <c r="A16" s="45"/>
      <c r="B16" s="62" t="s">
        <v>29</v>
      </c>
      <c r="C16" s="55" t="s">
        <v>20</v>
      </c>
      <c r="D16" s="20">
        <v>0.3</v>
      </c>
      <c r="E16" s="84">
        <v>46300.208333333336</v>
      </c>
      <c r="F16" s="84">
        <v>46300.291666666664</v>
      </c>
      <c r="G16" s="14"/>
      <c r="H16" s="14">
        <f t="shared" si="0"/>
        <v>1.0833333333284827</v>
      </c>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
      <c r="A17" s="45"/>
      <c r="B17" s="62" t="s">
        <v>30</v>
      </c>
      <c r="C17" s="55" t="s">
        <v>20</v>
      </c>
      <c r="D17" s="20">
        <v>0.2</v>
      </c>
      <c r="E17" s="84">
        <v>46300.041666666664</v>
      </c>
      <c r="F17" s="84">
        <v>46300.125</v>
      </c>
      <c r="G17" s="14"/>
      <c r="H17" s="14">
        <f t="shared" si="0"/>
        <v>1.0833333333357587</v>
      </c>
      <c r="I17" s="31"/>
      <c r="J17" s="31"/>
      <c r="K17" s="31"/>
      <c r="L17" s="31"/>
      <c r="M17" s="31"/>
      <c r="N17" s="31"/>
      <c r="O17" s="31"/>
      <c r="P17" s="31"/>
      <c r="Q17" s="31"/>
      <c r="R17" s="31"/>
      <c r="S17" s="31"/>
      <c r="T17" s="31"/>
      <c r="U17" s="32"/>
      <c r="V17" s="32"/>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3">
      <c r="A18" s="45"/>
      <c r="B18" s="62" t="s">
        <v>31</v>
      </c>
      <c r="C18" s="55" t="s">
        <v>32</v>
      </c>
      <c r="D18" s="20"/>
      <c r="E18" s="84">
        <v>46300.041666666664</v>
      </c>
      <c r="F18" s="84">
        <v>46300.208333333336</v>
      </c>
      <c r="G18" s="14"/>
      <c r="H18" s="14">
        <f t="shared" si="0"/>
        <v>1.1666666666715173</v>
      </c>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3">
      <c r="A19" s="45"/>
      <c r="B19" s="62" t="s">
        <v>33</v>
      </c>
      <c r="C19" s="55" t="s">
        <v>32</v>
      </c>
      <c r="D19" s="20"/>
      <c r="E19" s="84">
        <v>46300.208333333336</v>
      </c>
      <c r="F19" s="84">
        <v>46300.291666666664</v>
      </c>
      <c r="G19" s="14"/>
      <c r="H19" s="14">
        <f t="shared" si="0"/>
        <v>1.0833333333284827</v>
      </c>
      <c r="I19" s="31"/>
      <c r="J19" s="31"/>
      <c r="K19" s="31"/>
      <c r="L19" s="31"/>
      <c r="M19" s="31"/>
      <c r="N19" s="31"/>
      <c r="O19" s="31"/>
      <c r="P19" s="31"/>
      <c r="Q19" s="31"/>
      <c r="R19" s="31"/>
      <c r="S19" s="31"/>
      <c r="T19" s="31"/>
      <c r="U19" s="31"/>
      <c r="V19" s="31"/>
      <c r="W19" s="31"/>
      <c r="X19" s="31"/>
      <c r="Y19" s="32"/>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3">
      <c r="A20" s="45" t="s">
        <v>34</v>
      </c>
      <c r="B20" s="62" t="s">
        <v>35</v>
      </c>
      <c r="C20" s="55" t="s">
        <v>32</v>
      </c>
      <c r="D20" s="20"/>
      <c r="E20" s="84">
        <v>46300.041666666664</v>
      </c>
      <c r="F20" s="84">
        <v>46300.208333333336</v>
      </c>
      <c r="G20" s="14"/>
      <c r="H20" s="14"/>
      <c r="I20" s="31"/>
      <c r="J20" s="31"/>
      <c r="K20" s="31"/>
      <c r="L20" s="31"/>
      <c r="M20" s="31"/>
      <c r="N20" s="31"/>
      <c r="O20" s="31"/>
      <c r="P20" s="31"/>
      <c r="Q20" s="31"/>
      <c r="R20" s="31"/>
      <c r="S20" s="31"/>
      <c r="T20" s="31"/>
      <c r="U20" s="31"/>
      <c r="V20" s="31"/>
      <c r="W20" s="31"/>
      <c r="X20" s="31"/>
      <c r="Y20" s="32"/>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
      <c r="A21" s="45"/>
      <c r="B21" s="62" t="s">
        <v>36</v>
      </c>
      <c r="C21" s="55" t="s">
        <v>32</v>
      </c>
      <c r="D21" s="20"/>
      <c r="E21" s="84">
        <v>46301.041666666664</v>
      </c>
      <c r="F21" s="84">
        <v>46301.166666666664</v>
      </c>
      <c r="G21" s="14"/>
      <c r="H21" s="14"/>
      <c r="I21" s="31"/>
      <c r="J21" s="31"/>
      <c r="K21" s="31"/>
      <c r="L21" s="31"/>
      <c r="M21" s="31"/>
      <c r="N21" s="31"/>
      <c r="O21" s="31"/>
      <c r="P21" s="31"/>
      <c r="Q21" s="31"/>
      <c r="R21" s="31"/>
      <c r="S21" s="31"/>
      <c r="T21" s="31"/>
      <c r="U21" s="31"/>
      <c r="V21" s="31"/>
      <c r="W21" s="31"/>
      <c r="X21" s="31"/>
      <c r="Y21" s="32"/>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
      <c r="A22" s="45"/>
      <c r="B22" s="62" t="s">
        <v>37</v>
      </c>
      <c r="C22" s="55" t="s">
        <v>32</v>
      </c>
      <c r="D22" s="20"/>
      <c r="E22" s="84">
        <v>46301.166666666664</v>
      </c>
      <c r="F22" s="84">
        <v>46301.291666666664</v>
      </c>
      <c r="G22" s="14"/>
      <c r="H22" s="14"/>
      <c r="I22" s="31"/>
      <c r="J22" s="31"/>
      <c r="K22" s="31"/>
      <c r="L22" s="31"/>
      <c r="M22" s="31"/>
      <c r="N22" s="31"/>
      <c r="O22" s="31"/>
      <c r="P22" s="31"/>
      <c r="Q22" s="31"/>
      <c r="R22" s="31"/>
      <c r="S22" s="31"/>
      <c r="T22" s="31"/>
      <c r="U22" s="31"/>
      <c r="V22" s="31"/>
      <c r="W22" s="31"/>
      <c r="X22" s="31"/>
      <c r="Y22" s="32"/>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3">
      <c r="A23" s="45"/>
      <c r="B23" s="62" t="s">
        <v>38</v>
      </c>
      <c r="C23" s="55" t="s">
        <v>32</v>
      </c>
      <c r="D23" s="20"/>
      <c r="E23" s="84">
        <v>46301.041666666664</v>
      </c>
      <c r="F23" s="84">
        <v>46301.125</v>
      </c>
      <c r="G23" s="14"/>
      <c r="H23" s="14">
        <f t="shared" si="0"/>
        <v>1.0833333333357587</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3">
      <c r="A24" s="45"/>
      <c r="B24" s="21" t="s">
        <v>39</v>
      </c>
      <c r="C24" s="56"/>
      <c r="D24" s="22"/>
      <c r="E24" s="73"/>
      <c r="F24" s="74"/>
      <c r="G24" s="14"/>
      <c r="H24" s="14" t="str">
        <f t="shared" si="0"/>
        <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3">
      <c r="A25" s="45"/>
      <c r="B25" s="63" t="s">
        <v>40</v>
      </c>
      <c r="C25" s="57" t="s">
        <v>32</v>
      </c>
      <c r="D25" s="23"/>
      <c r="E25" s="85">
        <v>46302.041666666664</v>
      </c>
      <c r="F25" s="85">
        <v>46302.166666666664</v>
      </c>
      <c r="G25" s="14"/>
      <c r="H25" s="14">
        <f t="shared" si="0"/>
        <v>1.125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3">
      <c r="A26" s="45" t="s">
        <v>34</v>
      </c>
      <c r="B26" s="63" t="s">
        <v>41</v>
      </c>
      <c r="C26" s="57" t="s">
        <v>20</v>
      </c>
      <c r="D26" s="23"/>
      <c r="E26" s="85">
        <v>46302.166666666664</v>
      </c>
      <c r="F26" s="85">
        <v>46302.25</v>
      </c>
      <c r="G26" s="14"/>
      <c r="H26" s="14">
        <f t="shared" si="0"/>
        <v>1.0833333333357587</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3">
      <c r="A27" s="45"/>
      <c r="B27" s="63" t="s">
        <v>42</v>
      </c>
      <c r="C27" s="57" t="s">
        <v>20</v>
      </c>
      <c r="D27" s="23"/>
      <c r="E27" s="85">
        <v>46302.25</v>
      </c>
      <c r="F27" s="85">
        <v>46302.291666666664</v>
      </c>
      <c r="G27" s="14"/>
      <c r="H27" s="14">
        <f t="shared" si="0"/>
        <v>1.0416666666642413</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3">
      <c r="A28" s="45"/>
      <c r="B28" s="63" t="s">
        <v>43</v>
      </c>
      <c r="C28" s="57" t="s">
        <v>32</v>
      </c>
      <c r="D28" s="23"/>
      <c r="E28" s="85">
        <v>46302.041666666664</v>
      </c>
      <c r="F28" s="85">
        <v>46302.125</v>
      </c>
      <c r="G28" s="14"/>
      <c r="H28" s="14">
        <f t="shared" si="0"/>
        <v>1.0833333333357587</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3">
      <c r="A29" s="45"/>
      <c r="B29" s="63" t="s">
        <v>45</v>
      </c>
      <c r="C29" s="57" t="s">
        <v>32</v>
      </c>
      <c r="D29" s="23"/>
      <c r="E29" s="85">
        <v>46302.041666666664</v>
      </c>
      <c r="F29" s="85">
        <v>46302.208333333336</v>
      </c>
      <c r="G29" s="14"/>
      <c r="H29" s="14"/>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3">
      <c r="A30" s="45"/>
      <c r="B30" s="63" t="s">
        <v>47</v>
      </c>
      <c r="C30" s="57" t="s">
        <v>32</v>
      </c>
      <c r="D30" s="23"/>
      <c r="E30" s="85">
        <v>46302.208333333336</v>
      </c>
      <c r="F30" s="85">
        <v>46302.291666666664</v>
      </c>
      <c r="G30" s="14"/>
      <c r="H30" s="14"/>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3">
      <c r="A31" s="45"/>
      <c r="B31" s="63" t="s">
        <v>48</v>
      </c>
      <c r="C31" s="57" t="s">
        <v>32</v>
      </c>
      <c r="D31" s="23"/>
      <c r="E31" s="85">
        <v>46302.041666666664</v>
      </c>
      <c r="F31" s="85">
        <v>46302.125</v>
      </c>
      <c r="G31" s="14"/>
      <c r="H31" s="14"/>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3">
      <c r="A32" s="45" t="s">
        <v>44</v>
      </c>
      <c r="B32" s="63" t="s">
        <v>49</v>
      </c>
      <c r="C32" s="57" t="s">
        <v>20</v>
      </c>
      <c r="D32" s="23">
        <v>0.8</v>
      </c>
      <c r="E32" s="85">
        <v>46303.125</v>
      </c>
      <c r="F32" s="85">
        <v>46303.166666666664</v>
      </c>
      <c r="G32" s="14"/>
      <c r="H32" s="14"/>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3">
      <c r="A33" s="46" t="s">
        <v>46</v>
      </c>
      <c r="B33" s="63" t="s">
        <v>50</v>
      </c>
      <c r="C33" s="57" t="s">
        <v>20</v>
      </c>
      <c r="D33" s="23"/>
      <c r="E33" s="85">
        <v>46303.166666666664</v>
      </c>
      <c r="F33" s="85">
        <v>46303.208333333336</v>
      </c>
      <c r="G33" s="14"/>
      <c r="H33" s="14"/>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row>
    <row r="34" spans="1:64" ht="30" customHeight="1" thickBot="1" x14ac:dyDescent="0.3">
      <c r="B34" s="63" t="s">
        <v>51</v>
      </c>
      <c r="C34" s="57" t="s">
        <v>20</v>
      </c>
      <c r="D34" s="23">
        <v>0.5</v>
      </c>
      <c r="E34" s="85">
        <v>46303.208333333336</v>
      </c>
      <c r="F34" s="85">
        <v>46303.25</v>
      </c>
      <c r="G34" s="14"/>
      <c r="H34" s="14">
        <f t="shared" si="0"/>
        <v>1.0416666666642413</v>
      </c>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row>
    <row r="35" spans="1:64" ht="30" customHeight="1" thickBot="1" x14ac:dyDescent="0.3">
      <c r="B35" s="24" t="s">
        <v>52</v>
      </c>
      <c r="C35" s="58"/>
      <c r="D35" s="25"/>
      <c r="E35" s="75"/>
      <c r="F35" s="76"/>
      <c r="G35" s="14"/>
      <c r="H35" s="14" t="str">
        <f t="shared" si="0"/>
        <v/>
      </c>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row>
    <row r="36" spans="1:64" ht="30" customHeight="1" thickBot="1" x14ac:dyDescent="0.3">
      <c r="B36" s="64" t="s">
        <v>53</v>
      </c>
      <c r="C36" s="59" t="s">
        <v>20</v>
      </c>
      <c r="D36" s="26"/>
      <c r="E36" s="86">
        <v>46303.041666666664</v>
      </c>
      <c r="F36" s="86">
        <v>46303.166666666664</v>
      </c>
      <c r="G36" s="14"/>
      <c r="H36" s="14">
        <f t="shared" si="0"/>
        <v>1.125</v>
      </c>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row>
    <row r="37" spans="1:64" ht="30" customHeight="1" thickBot="1" x14ac:dyDescent="0.3">
      <c r="B37" s="64" t="s">
        <v>54</v>
      </c>
      <c r="C37" s="59" t="s">
        <v>20</v>
      </c>
      <c r="D37" s="26"/>
      <c r="E37" s="86">
        <v>46303.166666666664</v>
      </c>
      <c r="F37" s="86">
        <v>46303.291666666664</v>
      </c>
      <c r="G37" s="14"/>
      <c r="H37" s="14">
        <f t="shared" si="0"/>
        <v>1.125</v>
      </c>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row>
    <row r="38" spans="1:64" ht="30" customHeight="1" thickBot="1" x14ac:dyDescent="0.3">
      <c r="B38" s="64" t="s">
        <v>55</v>
      </c>
      <c r="C38" s="59" t="s">
        <v>20</v>
      </c>
      <c r="D38" s="26"/>
      <c r="E38" s="86">
        <v>46303.041666666664</v>
      </c>
      <c r="F38" s="86">
        <v>46303.125</v>
      </c>
      <c r="G38" s="14"/>
      <c r="H38" s="14">
        <f t="shared" si="0"/>
        <v>1.0833333333357587</v>
      </c>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row>
    <row r="39" spans="1:64" ht="30" customHeight="1" thickBot="1" x14ac:dyDescent="0.3">
      <c r="B39" s="64" t="s">
        <v>56</v>
      </c>
      <c r="C39" s="59" t="s">
        <v>32</v>
      </c>
      <c r="D39" s="26"/>
      <c r="E39" s="86">
        <v>46303.041666666664</v>
      </c>
      <c r="F39" s="86">
        <v>46303.166666666664</v>
      </c>
      <c r="G39" s="14"/>
      <c r="H39" s="14">
        <f t="shared" si="0"/>
        <v>1.125</v>
      </c>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row>
    <row r="40" spans="1:64" ht="30" customHeight="1" thickBot="1" x14ac:dyDescent="0.3">
      <c r="B40" s="64" t="s">
        <v>57</v>
      </c>
      <c r="C40" s="59" t="s">
        <v>32</v>
      </c>
      <c r="D40" s="26"/>
      <c r="E40" s="86">
        <v>46303.166666666664</v>
      </c>
      <c r="F40" s="86">
        <v>46303.291666666664</v>
      </c>
      <c r="G40" s="14"/>
      <c r="H40" s="14">
        <f t="shared" si="0"/>
        <v>1.125</v>
      </c>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row>
    <row r="41" spans="1:64" ht="30" customHeight="1" thickBot="1" x14ac:dyDescent="0.3">
      <c r="B41" s="61" t="s">
        <v>58</v>
      </c>
      <c r="C41" s="53" t="s">
        <v>32</v>
      </c>
      <c r="D41" s="17"/>
      <c r="E41" s="81">
        <v>46303.041666666664</v>
      </c>
      <c r="F41" s="81">
        <v>46303.125</v>
      </c>
      <c r="G41" s="14"/>
      <c r="H41" s="14"/>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row>
    <row r="42" spans="1:64" ht="30" customHeight="1" thickBot="1" x14ac:dyDescent="0.3">
      <c r="B42" s="61" t="s">
        <v>59</v>
      </c>
      <c r="C42" s="53" t="s">
        <v>20</v>
      </c>
      <c r="D42" s="17"/>
      <c r="E42" s="81">
        <v>46304.041666666664</v>
      </c>
      <c r="F42" s="81">
        <v>46304.166666666664</v>
      </c>
      <c r="G42" s="14"/>
      <c r="H42" s="14"/>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row>
    <row r="43" spans="1:64" ht="30" customHeight="1" thickBot="1" x14ac:dyDescent="0.3">
      <c r="B43" s="61" t="s">
        <v>60</v>
      </c>
      <c r="C43" s="53" t="s">
        <v>20</v>
      </c>
      <c r="D43" s="17"/>
      <c r="E43" s="81">
        <v>46304.166666666664</v>
      </c>
      <c r="F43" s="81">
        <v>46304.25</v>
      </c>
      <c r="G43" s="14"/>
      <c r="H43" s="14"/>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row>
    <row r="44" spans="1:64" ht="30" customHeight="1" thickBot="1" x14ac:dyDescent="0.3">
      <c r="B44" s="61" t="s">
        <v>61</v>
      </c>
      <c r="C44" s="53" t="s">
        <v>20</v>
      </c>
      <c r="D44" s="17"/>
      <c r="E44" s="81">
        <v>46304.25</v>
      </c>
      <c r="F44" s="81">
        <v>46304.291666666664</v>
      </c>
      <c r="G44" s="14"/>
      <c r="H44" s="14"/>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row>
    <row r="45" spans="1:64" ht="30" customHeight="1" thickBot="1" x14ac:dyDescent="0.3">
      <c r="B45" s="61" t="s">
        <v>62</v>
      </c>
      <c r="C45" s="53" t="s">
        <v>32</v>
      </c>
      <c r="D45" s="17"/>
      <c r="E45" s="81">
        <v>46304.041666666664</v>
      </c>
      <c r="F45" s="81">
        <v>46304.166666666664</v>
      </c>
      <c r="G45" s="14"/>
      <c r="H45" s="14"/>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row>
    <row r="46" spans="1:64" ht="30" customHeight="1" thickBot="1" x14ac:dyDescent="0.3">
      <c r="B46" s="61" t="s">
        <v>63</v>
      </c>
      <c r="C46" s="53" t="s">
        <v>32</v>
      </c>
      <c r="D46" s="17"/>
      <c r="E46" s="81">
        <v>46304.166666666664</v>
      </c>
      <c r="F46" s="81">
        <v>46304.291666666664</v>
      </c>
      <c r="G46" s="14"/>
      <c r="H46" s="14"/>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row>
    <row r="47" spans="1:64" ht="30" customHeight="1" thickBot="1" x14ac:dyDescent="0.3">
      <c r="B47" s="64" t="s">
        <v>64</v>
      </c>
      <c r="C47" s="59" t="s">
        <v>32</v>
      </c>
      <c r="D47" s="26"/>
      <c r="E47" s="86">
        <v>46304.041666666664</v>
      </c>
      <c r="F47" s="86">
        <v>46304.125</v>
      </c>
      <c r="G47" s="14"/>
      <c r="H47" s="14"/>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row>
    <row r="48" spans="1:64" ht="30" customHeight="1" thickBot="1" x14ac:dyDescent="0.3">
      <c r="B48" s="65"/>
      <c r="C48" s="60"/>
      <c r="D48" s="13"/>
      <c r="E48" s="77"/>
      <c r="F48" s="77"/>
      <c r="G48" s="14"/>
      <c r="H48" s="14" t="str">
        <f t="shared" si="0"/>
        <v/>
      </c>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row>
    <row r="49" spans="2:64" ht="30" customHeight="1" thickBot="1" x14ac:dyDescent="0.3">
      <c r="B49" s="27" t="s">
        <v>65</v>
      </c>
      <c r="C49" s="28"/>
      <c r="D49" s="29"/>
      <c r="E49" s="78"/>
      <c r="F49" s="79"/>
      <c r="G49" s="30"/>
      <c r="H49" s="30" t="str">
        <f t="shared" si="0"/>
        <v/>
      </c>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row>
    <row r="50" spans="2:64" ht="30" customHeight="1" x14ac:dyDescent="0.25">
      <c r="G50" s="6"/>
    </row>
    <row r="51" spans="2:64" ht="30" customHeight="1" x14ac:dyDescent="0.25">
      <c r="C51" s="11"/>
      <c r="F51" s="47"/>
    </row>
    <row r="52" spans="2:64" ht="30" customHeight="1" x14ac:dyDescent="0.25">
      <c r="C52" s="12"/>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49">
    <cfRule type="dataBar" priority="18">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49">
    <cfRule type="expression" dxfId="2" priority="37">
      <formula>AND(TODAY()&gt;=I$5,TODAY()&lt;J$5)</formula>
    </cfRule>
  </conditionalFormatting>
  <conditionalFormatting sqref="I7:BL49">
    <cfRule type="expression" dxfId="1" priority="32">
      <formula>AND(task_end&gt;=I$5,task_start&lt;J$5)</formula>
    </cfRule>
  </conditionalFormatting>
  <dataValidations count="1">
    <dataValidation type="whole" operator="greaterThanOrEqual" allowBlank="1" showInputMessage="1" promptTitle="Woche anzeigen" prompt="Das Ändern dieser Zahl bewirkt ein Scrollen in der Gantt-Diagrammansicht." sqref="E4" xr:uid="{00000000-0002-0000-0000-000000000000}">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B49A2-7F0C-4E60-ABE2-E16CC924CEFB}">
  <dimension ref="A1:I39"/>
  <sheetViews>
    <sheetView zoomScale="90" zoomScaleNormal="90" workbookViewId="0">
      <selection activeCell="C33" sqref="C33"/>
    </sheetView>
  </sheetViews>
  <sheetFormatPr baseColWidth="10" defaultColWidth="11.42578125" defaultRowHeight="15" x14ac:dyDescent="0.25"/>
  <cols>
    <col min="1" max="1" width="24.42578125" customWidth="1"/>
    <col min="2" max="2" width="38.140625" customWidth="1"/>
    <col min="3" max="3" width="60" customWidth="1"/>
    <col min="4" max="4" width="14.85546875" customWidth="1"/>
    <col min="5" max="5" width="11.140625" customWidth="1"/>
    <col min="6" max="6" width="13.140625" customWidth="1"/>
    <col min="7" max="8" width="19" bestFit="1" customWidth="1"/>
    <col min="9" max="9" width="25.85546875" bestFit="1" customWidth="1"/>
  </cols>
  <sheetData>
    <row r="1" spans="1:9" ht="45" x14ac:dyDescent="0.25">
      <c r="A1" s="87" t="s">
        <v>66</v>
      </c>
      <c r="B1" s="87" t="s">
        <v>67</v>
      </c>
      <c r="C1" s="87" t="s">
        <v>68</v>
      </c>
      <c r="D1" s="87" t="s">
        <v>69</v>
      </c>
      <c r="E1" s="87" t="s">
        <v>176</v>
      </c>
      <c r="F1" s="87" t="s">
        <v>177</v>
      </c>
      <c r="G1" s="87" t="s">
        <v>178</v>
      </c>
      <c r="H1" s="100" t="s">
        <v>152</v>
      </c>
      <c r="I1" s="87" t="s">
        <v>180</v>
      </c>
    </row>
    <row r="2" spans="1:9" ht="45" x14ac:dyDescent="0.25">
      <c r="A2" s="87" t="s">
        <v>19</v>
      </c>
      <c r="B2" s="88" t="s">
        <v>70</v>
      </c>
      <c r="C2" s="88" t="s">
        <v>71</v>
      </c>
      <c r="D2" s="99" t="s">
        <v>72</v>
      </c>
      <c r="E2">
        <v>5</v>
      </c>
      <c r="F2">
        <v>5</v>
      </c>
      <c r="G2">
        <f>E2*F2</f>
        <v>25</v>
      </c>
      <c r="H2">
        <v>5</v>
      </c>
      <c r="I2">
        <f>E2*H2</f>
        <v>25</v>
      </c>
    </row>
    <row r="3" spans="1:9" ht="45" x14ac:dyDescent="0.25">
      <c r="A3" s="87" t="s">
        <v>73</v>
      </c>
      <c r="B3" s="88" t="s">
        <v>74</v>
      </c>
      <c r="C3" s="88" t="s">
        <v>75</v>
      </c>
      <c r="D3" s="99" t="s">
        <v>76</v>
      </c>
      <c r="E3">
        <v>1</v>
      </c>
      <c r="F3">
        <v>5</v>
      </c>
      <c r="G3">
        <f t="shared" ref="G3:G27" si="0">E3*F3</f>
        <v>5</v>
      </c>
      <c r="H3">
        <v>3</v>
      </c>
      <c r="I3">
        <f t="shared" ref="I3:I27" si="1">E3*H3</f>
        <v>3</v>
      </c>
    </row>
    <row r="4" spans="1:9" ht="30" x14ac:dyDescent="0.25">
      <c r="A4" s="87" t="s">
        <v>184</v>
      </c>
      <c r="B4" s="88" t="s">
        <v>185</v>
      </c>
      <c r="C4" s="88" t="s">
        <v>77</v>
      </c>
      <c r="D4" s="99" t="s">
        <v>92</v>
      </c>
      <c r="E4">
        <v>3</v>
      </c>
      <c r="F4">
        <v>5</v>
      </c>
      <c r="G4">
        <f t="shared" si="0"/>
        <v>15</v>
      </c>
      <c r="H4">
        <v>5</v>
      </c>
      <c r="I4">
        <f t="shared" si="1"/>
        <v>15</v>
      </c>
    </row>
    <row r="5" spans="1:9" ht="45" x14ac:dyDescent="0.25">
      <c r="A5" s="87" t="s">
        <v>22</v>
      </c>
      <c r="B5" s="88" t="s">
        <v>78</v>
      </c>
      <c r="C5" s="88" t="s">
        <v>79</v>
      </c>
      <c r="D5" s="99" t="s">
        <v>72</v>
      </c>
      <c r="E5">
        <v>4</v>
      </c>
      <c r="F5">
        <v>4</v>
      </c>
      <c r="G5">
        <f t="shared" si="0"/>
        <v>16</v>
      </c>
      <c r="H5">
        <v>5</v>
      </c>
      <c r="I5">
        <f t="shared" si="1"/>
        <v>20</v>
      </c>
    </row>
    <row r="6" spans="1:9" ht="30" x14ac:dyDescent="0.25">
      <c r="A6" s="87" t="s">
        <v>80</v>
      </c>
      <c r="B6" s="88" t="s">
        <v>81</v>
      </c>
      <c r="C6" s="88" t="s">
        <v>82</v>
      </c>
      <c r="D6" s="99" t="s">
        <v>92</v>
      </c>
      <c r="E6">
        <v>3</v>
      </c>
      <c r="F6">
        <v>3</v>
      </c>
      <c r="G6">
        <f t="shared" si="0"/>
        <v>9</v>
      </c>
      <c r="H6">
        <v>1</v>
      </c>
      <c r="I6">
        <f t="shared" si="1"/>
        <v>3</v>
      </c>
    </row>
    <row r="7" spans="1:9" ht="45" x14ac:dyDescent="0.25">
      <c r="A7" s="87" t="s">
        <v>83</v>
      </c>
      <c r="B7" s="88" t="s">
        <v>84</v>
      </c>
      <c r="C7" s="88" t="s">
        <v>85</v>
      </c>
      <c r="D7" s="99" t="s">
        <v>72</v>
      </c>
      <c r="E7">
        <v>5</v>
      </c>
      <c r="F7">
        <v>3</v>
      </c>
      <c r="G7">
        <f t="shared" si="0"/>
        <v>15</v>
      </c>
      <c r="H7">
        <v>3</v>
      </c>
      <c r="I7">
        <f t="shared" si="1"/>
        <v>15</v>
      </c>
    </row>
    <row r="8" spans="1:9" ht="30" x14ac:dyDescent="0.25">
      <c r="A8" s="87" t="s">
        <v>86</v>
      </c>
      <c r="B8" s="88" t="s">
        <v>87</v>
      </c>
      <c r="C8" s="88" t="s">
        <v>88</v>
      </c>
      <c r="D8" s="99" t="s">
        <v>72</v>
      </c>
      <c r="E8">
        <v>5</v>
      </c>
      <c r="F8">
        <v>5</v>
      </c>
      <c r="G8">
        <f t="shared" si="0"/>
        <v>25</v>
      </c>
      <c r="H8">
        <v>5</v>
      </c>
      <c r="I8">
        <f t="shared" si="1"/>
        <v>25</v>
      </c>
    </row>
    <row r="9" spans="1:9" ht="30" x14ac:dyDescent="0.25">
      <c r="A9" s="87" t="s">
        <v>89</v>
      </c>
      <c r="B9" s="88" t="s">
        <v>90</v>
      </c>
      <c r="C9" s="88" t="s">
        <v>91</v>
      </c>
      <c r="D9" s="99" t="s">
        <v>92</v>
      </c>
      <c r="E9">
        <v>3</v>
      </c>
      <c r="F9">
        <v>3</v>
      </c>
      <c r="G9">
        <f t="shared" si="0"/>
        <v>9</v>
      </c>
      <c r="H9">
        <v>5</v>
      </c>
      <c r="I9">
        <f t="shared" si="1"/>
        <v>15</v>
      </c>
    </row>
    <row r="10" spans="1:9" ht="30" x14ac:dyDescent="0.25">
      <c r="A10" s="87" t="s">
        <v>93</v>
      </c>
      <c r="B10" s="88" t="s">
        <v>94</v>
      </c>
      <c r="C10" s="88" t="s">
        <v>95</v>
      </c>
      <c r="D10" s="99" t="s">
        <v>72</v>
      </c>
      <c r="E10">
        <v>5</v>
      </c>
      <c r="F10">
        <v>3</v>
      </c>
      <c r="G10">
        <f t="shared" si="0"/>
        <v>15</v>
      </c>
      <c r="H10">
        <v>4</v>
      </c>
      <c r="I10">
        <f t="shared" si="1"/>
        <v>20</v>
      </c>
    </row>
    <row r="11" spans="1:9" ht="45" x14ac:dyDescent="0.25">
      <c r="A11" s="87" t="s">
        <v>96</v>
      </c>
      <c r="B11" s="102" t="s">
        <v>186</v>
      </c>
      <c r="C11" s="88" t="s">
        <v>97</v>
      </c>
      <c r="D11" s="99" t="s">
        <v>72</v>
      </c>
      <c r="E11">
        <v>4</v>
      </c>
      <c r="F11">
        <v>5</v>
      </c>
      <c r="G11">
        <f t="shared" si="0"/>
        <v>20</v>
      </c>
      <c r="H11">
        <v>5</v>
      </c>
      <c r="I11">
        <f t="shared" si="1"/>
        <v>20</v>
      </c>
    </row>
    <row r="12" spans="1:9" ht="30" x14ac:dyDescent="0.25">
      <c r="A12" s="87" t="s">
        <v>98</v>
      </c>
      <c r="B12" s="88" t="s">
        <v>99</v>
      </c>
      <c r="C12" s="88" t="s">
        <v>100</v>
      </c>
      <c r="D12" s="99" t="s">
        <v>72</v>
      </c>
      <c r="E12">
        <v>5</v>
      </c>
      <c r="F12">
        <v>5</v>
      </c>
      <c r="G12">
        <f t="shared" si="0"/>
        <v>25</v>
      </c>
      <c r="H12">
        <v>1</v>
      </c>
      <c r="I12">
        <f t="shared" si="1"/>
        <v>5</v>
      </c>
    </row>
    <row r="13" spans="1:9" ht="30" x14ac:dyDescent="0.25">
      <c r="A13" s="87" t="s">
        <v>101</v>
      </c>
      <c r="B13" s="88" t="s">
        <v>102</v>
      </c>
      <c r="C13" s="88" t="s">
        <v>103</v>
      </c>
      <c r="D13" s="99" t="s">
        <v>92</v>
      </c>
      <c r="E13">
        <v>3</v>
      </c>
      <c r="F13">
        <v>3</v>
      </c>
      <c r="G13">
        <f t="shared" si="0"/>
        <v>9</v>
      </c>
      <c r="H13">
        <v>5</v>
      </c>
      <c r="I13">
        <f t="shared" si="1"/>
        <v>15</v>
      </c>
    </row>
    <row r="14" spans="1:9" ht="30" x14ac:dyDescent="0.25">
      <c r="A14" s="87" t="s">
        <v>104</v>
      </c>
      <c r="B14" s="88" t="s">
        <v>105</v>
      </c>
      <c r="C14" s="88" t="s">
        <v>106</v>
      </c>
      <c r="D14" s="99" t="s">
        <v>72</v>
      </c>
      <c r="E14">
        <v>4</v>
      </c>
      <c r="F14">
        <v>4</v>
      </c>
      <c r="G14">
        <f t="shared" si="0"/>
        <v>16</v>
      </c>
      <c r="H14">
        <v>5</v>
      </c>
      <c r="I14">
        <f t="shared" si="1"/>
        <v>20</v>
      </c>
    </row>
    <row r="15" spans="1:9" ht="30" x14ac:dyDescent="0.25">
      <c r="A15" s="87" t="s">
        <v>107</v>
      </c>
      <c r="B15" s="88" t="s">
        <v>108</v>
      </c>
      <c r="C15" s="88" t="s">
        <v>109</v>
      </c>
      <c r="D15" s="99" t="s">
        <v>92</v>
      </c>
      <c r="E15">
        <v>3</v>
      </c>
      <c r="F15">
        <v>3</v>
      </c>
      <c r="G15">
        <f t="shared" si="0"/>
        <v>9</v>
      </c>
      <c r="H15">
        <v>5</v>
      </c>
      <c r="I15">
        <f t="shared" si="1"/>
        <v>15</v>
      </c>
    </row>
    <row r="16" spans="1:9" ht="30" x14ac:dyDescent="0.25">
      <c r="A16" s="87" t="s">
        <v>110</v>
      </c>
      <c r="B16" s="88" t="s">
        <v>111</v>
      </c>
      <c r="C16" s="88" t="s">
        <v>112</v>
      </c>
      <c r="D16" s="99" t="s">
        <v>72</v>
      </c>
      <c r="E16">
        <v>4</v>
      </c>
      <c r="F16">
        <v>5</v>
      </c>
      <c r="G16">
        <f t="shared" si="0"/>
        <v>20</v>
      </c>
      <c r="H16">
        <v>1</v>
      </c>
      <c r="I16">
        <f t="shared" si="1"/>
        <v>4</v>
      </c>
    </row>
    <row r="17" spans="1:9" ht="30" x14ac:dyDescent="0.25">
      <c r="A17" s="87" t="s">
        <v>113</v>
      </c>
      <c r="B17" s="88" t="s">
        <v>114</v>
      </c>
      <c r="C17" s="88" t="s">
        <v>115</v>
      </c>
      <c r="D17" s="99" t="s">
        <v>92</v>
      </c>
      <c r="E17">
        <v>3</v>
      </c>
      <c r="F17">
        <v>4</v>
      </c>
      <c r="G17">
        <f t="shared" si="0"/>
        <v>12</v>
      </c>
      <c r="H17">
        <v>5</v>
      </c>
      <c r="I17">
        <f t="shared" si="1"/>
        <v>15</v>
      </c>
    </row>
    <row r="18" spans="1:9" ht="30" x14ac:dyDescent="0.25">
      <c r="A18" s="87" t="s">
        <v>116</v>
      </c>
      <c r="B18" s="88" t="s">
        <v>117</v>
      </c>
      <c r="C18" s="88" t="s">
        <v>118</v>
      </c>
      <c r="D18" s="99" t="s">
        <v>76</v>
      </c>
      <c r="E18">
        <v>2</v>
      </c>
      <c r="F18">
        <v>5</v>
      </c>
      <c r="G18">
        <f t="shared" si="0"/>
        <v>10</v>
      </c>
      <c r="H18">
        <v>3</v>
      </c>
      <c r="I18">
        <f t="shared" si="1"/>
        <v>6</v>
      </c>
    </row>
    <row r="19" spans="1:9" ht="30" x14ac:dyDescent="0.25">
      <c r="A19" s="87" t="s">
        <v>119</v>
      </c>
      <c r="B19" s="88" t="s">
        <v>120</v>
      </c>
      <c r="C19" s="88" t="s">
        <v>121</v>
      </c>
      <c r="D19" s="99" t="s">
        <v>72</v>
      </c>
      <c r="E19">
        <v>5</v>
      </c>
      <c r="F19">
        <v>5</v>
      </c>
      <c r="G19">
        <f t="shared" si="0"/>
        <v>25</v>
      </c>
      <c r="H19">
        <v>5</v>
      </c>
      <c r="I19">
        <f t="shared" si="1"/>
        <v>25</v>
      </c>
    </row>
    <row r="20" spans="1:9" ht="30" x14ac:dyDescent="0.25">
      <c r="A20" s="87" t="s">
        <v>122</v>
      </c>
      <c r="B20" s="88" t="s">
        <v>123</v>
      </c>
      <c r="C20" s="88" t="s">
        <v>124</v>
      </c>
      <c r="D20" s="99" t="s">
        <v>72</v>
      </c>
      <c r="E20">
        <v>4</v>
      </c>
      <c r="F20">
        <v>2</v>
      </c>
      <c r="G20">
        <f t="shared" si="0"/>
        <v>8</v>
      </c>
      <c r="H20">
        <v>5</v>
      </c>
      <c r="I20">
        <f t="shared" si="1"/>
        <v>20</v>
      </c>
    </row>
    <row r="21" spans="1:9" ht="30" x14ac:dyDescent="0.25">
      <c r="A21" s="87" t="s">
        <v>125</v>
      </c>
      <c r="B21" s="88" t="s">
        <v>126</v>
      </c>
      <c r="C21" s="88" t="s">
        <v>127</v>
      </c>
      <c r="D21" s="99" t="s">
        <v>76</v>
      </c>
      <c r="E21">
        <v>2</v>
      </c>
      <c r="F21">
        <v>5</v>
      </c>
      <c r="G21">
        <f t="shared" si="0"/>
        <v>10</v>
      </c>
      <c r="H21">
        <v>5</v>
      </c>
      <c r="I21">
        <f t="shared" si="1"/>
        <v>10</v>
      </c>
    </row>
    <row r="22" spans="1:9" ht="30" x14ac:dyDescent="0.25">
      <c r="A22" s="87" t="s">
        <v>128</v>
      </c>
      <c r="B22" s="88" t="s">
        <v>129</v>
      </c>
      <c r="C22" s="88" t="s">
        <v>130</v>
      </c>
      <c r="D22" s="99" t="s">
        <v>72</v>
      </c>
      <c r="E22">
        <v>4</v>
      </c>
      <c r="F22">
        <v>5</v>
      </c>
      <c r="G22">
        <f t="shared" si="0"/>
        <v>20</v>
      </c>
      <c r="H22">
        <v>5</v>
      </c>
      <c r="I22">
        <f t="shared" si="1"/>
        <v>20</v>
      </c>
    </row>
    <row r="23" spans="1:9" ht="30" x14ac:dyDescent="0.25">
      <c r="A23" s="87" t="s">
        <v>131</v>
      </c>
      <c r="B23" s="88" t="s">
        <v>132</v>
      </c>
      <c r="C23" s="88" t="s">
        <v>133</v>
      </c>
      <c r="D23" s="99" t="s">
        <v>72</v>
      </c>
      <c r="E23">
        <v>4</v>
      </c>
      <c r="F23">
        <v>4</v>
      </c>
      <c r="G23">
        <f t="shared" si="0"/>
        <v>16</v>
      </c>
      <c r="H23">
        <v>5</v>
      </c>
      <c r="I23">
        <f t="shared" si="1"/>
        <v>20</v>
      </c>
    </row>
    <row r="24" spans="1:9" ht="30" x14ac:dyDescent="0.25">
      <c r="A24" s="87" t="s">
        <v>134</v>
      </c>
      <c r="B24" s="88" t="s">
        <v>135</v>
      </c>
      <c r="C24" s="88" t="s">
        <v>136</v>
      </c>
      <c r="D24" s="99" t="s">
        <v>92</v>
      </c>
      <c r="E24">
        <v>4</v>
      </c>
      <c r="F24">
        <v>3</v>
      </c>
      <c r="G24">
        <f t="shared" si="0"/>
        <v>12</v>
      </c>
      <c r="H24">
        <v>4</v>
      </c>
      <c r="I24">
        <f t="shared" si="1"/>
        <v>16</v>
      </c>
    </row>
    <row r="25" spans="1:9" ht="30" x14ac:dyDescent="0.25">
      <c r="A25" s="87" t="s">
        <v>61</v>
      </c>
      <c r="B25" s="88" t="s">
        <v>137</v>
      </c>
      <c r="C25" s="88" t="s">
        <v>138</v>
      </c>
      <c r="D25" s="99" t="s">
        <v>72</v>
      </c>
      <c r="E25">
        <v>5</v>
      </c>
      <c r="F25">
        <v>5</v>
      </c>
      <c r="G25">
        <f t="shared" si="0"/>
        <v>25</v>
      </c>
      <c r="H25">
        <v>5</v>
      </c>
      <c r="I25">
        <f t="shared" si="1"/>
        <v>25</v>
      </c>
    </row>
    <row r="26" spans="1:9" ht="30" x14ac:dyDescent="0.25">
      <c r="A26" s="87" t="s">
        <v>139</v>
      </c>
      <c r="B26" s="88" t="s">
        <v>140</v>
      </c>
      <c r="C26" s="88" t="s">
        <v>141</v>
      </c>
      <c r="D26" s="99" t="s">
        <v>92</v>
      </c>
      <c r="E26">
        <v>3</v>
      </c>
      <c r="F26">
        <v>4</v>
      </c>
      <c r="G26">
        <f t="shared" si="0"/>
        <v>12</v>
      </c>
      <c r="H26">
        <v>5</v>
      </c>
      <c r="I26">
        <f t="shared" si="1"/>
        <v>15</v>
      </c>
    </row>
    <row r="27" spans="1:9" ht="30" x14ac:dyDescent="0.25">
      <c r="A27" s="87" t="s">
        <v>142</v>
      </c>
      <c r="B27" s="88" t="s">
        <v>143</v>
      </c>
      <c r="C27" s="88" t="s">
        <v>144</v>
      </c>
      <c r="D27" s="99" t="s">
        <v>92</v>
      </c>
      <c r="E27">
        <v>3</v>
      </c>
      <c r="F27">
        <v>5</v>
      </c>
      <c r="G27">
        <f t="shared" si="0"/>
        <v>15</v>
      </c>
      <c r="H27">
        <v>4</v>
      </c>
      <c r="I27">
        <f t="shared" si="1"/>
        <v>12</v>
      </c>
    </row>
    <row r="28" spans="1:9" x14ac:dyDescent="0.25">
      <c r="D28" t="s">
        <v>182</v>
      </c>
      <c r="E28">
        <f>SUM(E2:E27)*5</f>
        <v>480</v>
      </c>
      <c r="G28">
        <f t="shared" ref="F28:I28" si="2">SUM(G2:G27)</f>
        <v>398</v>
      </c>
      <c r="I28">
        <f t="shared" si="2"/>
        <v>404</v>
      </c>
    </row>
    <row r="29" spans="1:9" x14ac:dyDescent="0.25">
      <c r="D29" s="99" t="s">
        <v>183</v>
      </c>
      <c r="E29" s="101">
        <f>_xlfn.PERCENTOF(E28,E28)</f>
        <v>1</v>
      </c>
      <c r="G29" s="101">
        <f>_xlfn.PERCENTOF(G28,E28)</f>
        <v>0.82916666666666672</v>
      </c>
      <c r="I29" s="101">
        <f>_xlfn.PERCENTOF(I28,E28)</f>
        <v>0.84166666666666667</v>
      </c>
    </row>
    <row r="31" spans="1:9" x14ac:dyDescent="0.25">
      <c r="A31" s="91" t="s">
        <v>145</v>
      </c>
      <c r="B31" s="91" t="s">
        <v>146</v>
      </c>
      <c r="C31" s="91" t="s">
        <v>147</v>
      </c>
      <c r="D31" s="92" t="s">
        <v>148</v>
      </c>
    </row>
    <row r="32" spans="1:9" x14ac:dyDescent="0.25">
      <c r="A32">
        <v>1</v>
      </c>
      <c r="B32" t="s">
        <v>149</v>
      </c>
      <c r="C32" s="89" t="s">
        <v>150</v>
      </c>
      <c r="D32" t="s">
        <v>151</v>
      </c>
    </row>
    <row r="33" spans="1:4" x14ac:dyDescent="0.25">
      <c r="A33">
        <v>2</v>
      </c>
      <c r="B33" t="s">
        <v>152</v>
      </c>
      <c r="C33" s="89" t="s">
        <v>153</v>
      </c>
      <c r="D33" t="s">
        <v>175</v>
      </c>
    </row>
    <row r="34" spans="1:4" x14ac:dyDescent="0.25">
      <c r="A34">
        <v>3</v>
      </c>
      <c r="B34" t="s">
        <v>154</v>
      </c>
      <c r="C34" s="90" t="s">
        <v>155</v>
      </c>
      <c r="D34" t="s">
        <v>156</v>
      </c>
    </row>
    <row r="35" spans="1:4" x14ac:dyDescent="0.25">
      <c r="A35">
        <v>4</v>
      </c>
      <c r="B35" t="s">
        <v>157</v>
      </c>
      <c r="C35" s="89" t="s">
        <v>158</v>
      </c>
      <c r="D35" t="s">
        <v>159</v>
      </c>
    </row>
    <row r="37" spans="1:4" x14ac:dyDescent="0.25">
      <c r="B37" t="s">
        <v>152</v>
      </c>
    </row>
    <row r="38" spans="1:4" x14ac:dyDescent="0.25">
      <c r="B38" t="s">
        <v>179</v>
      </c>
    </row>
    <row r="39" spans="1:4" x14ac:dyDescent="0.25">
      <c r="B39" t="s">
        <v>181</v>
      </c>
    </row>
  </sheetData>
  <conditionalFormatting sqref="A2:I27">
    <cfRule type="containsText" dxfId="0" priority="1" operator="containsText" text="Hoch">
      <formula>NOT(ISERROR(SEARCH("Hoch",A2)))</formula>
    </cfRule>
  </conditionalFormatting>
  <hyperlinks>
    <hyperlink ref="C32" r:id="rId1" xr:uid="{DD38BCE1-6BF3-434C-98C5-02046EEE950E}"/>
    <hyperlink ref="C34" r:id="rId2" xr:uid="{9BFD9163-53A6-4A27-A08B-1E8FBE375FEA}"/>
    <hyperlink ref="C35" r:id="rId3" xr:uid="{6FF16306-C34C-499A-8362-A4450345C376}"/>
    <hyperlink ref="C33" r:id="rId4" xr:uid="{EBACD58D-5E2A-405F-81EA-332CEC23A0AD}"/>
  </hyperlink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election activeCell="C9" sqref="C9"/>
    </sheetView>
  </sheetViews>
  <sheetFormatPr baseColWidth="10" defaultColWidth="9.140625" defaultRowHeight="12.75" x14ac:dyDescent="0.2"/>
  <cols>
    <col min="1" max="1" width="87.140625" style="35" customWidth="1"/>
    <col min="2" max="16384" width="9.140625" style="2"/>
  </cols>
  <sheetData>
    <row r="1" spans="1:2" ht="46.5" customHeight="1" x14ac:dyDescent="0.2"/>
    <row r="2" spans="1:2" s="37" customFormat="1" ht="15.75" x14ac:dyDescent="0.25">
      <c r="A2" s="36" t="s">
        <v>160</v>
      </c>
      <c r="B2" s="36"/>
    </row>
    <row r="3" spans="1:2" s="41" customFormat="1" ht="27" customHeight="1" x14ac:dyDescent="0.25">
      <c r="A3" s="68" t="s">
        <v>161</v>
      </c>
      <c r="B3" s="42"/>
    </row>
    <row r="4" spans="1:2" s="38" customFormat="1" ht="26.25" x14ac:dyDescent="0.4">
      <c r="A4" s="39" t="s">
        <v>162</v>
      </c>
    </row>
    <row r="5" spans="1:2" ht="74.099999999999994" customHeight="1" x14ac:dyDescent="0.2">
      <c r="A5" s="40" t="s">
        <v>163</v>
      </c>
    </row>
    <row r="6" spans="1:2" ht="26.25" customHeight="1" x14ac:dyDescent="0.2">
      <c r="A6" s="39" t="s">
        <v>164</v>
      </c>
    </row>
    <row r="7" spans="1:2" s="35" customFormat="1" ht="204.95" customHeight="1" x14ac:dyDescent="0.25">
      <c r="A7" s="44" t="s">
        <v>165</v>
      </c>
    </row>
    <row r="8" spans="1:2" s="38" customFormat="1" ht="26.25" x14ac:dyDescent="0.4">
      <c r="A8" s="39" t="s">
        <v>166</v>
      </c>
    </row>
    <row r="9" spans="1:2" ht="75" x14ac:dyDescent="0.2">
      <c r="A9" s="40" t="s">
        <v>167</v>
      </c>
    </row>
    <row r="10" spans="1:2" s="35" customFormat="1" ht="27.95" customHeight="1" x14ac:dyDescent="0.25">
      <c r="A10" s="43" t="s">
        <v>168</v>
      </c>
    </row>
    <row r="11" spans="1:2" s="38" customFormat="1" ht="26.25" x14ac:dyDescent="0.4">
      <c r="A11" s="39" t="s">
        <v>169</v>
      </c>
    </row>
    <row r="12" spans="1:2" ht="45" x14ac:dyDescent="0.2">
      <c r="A12" s="40" t="s">
        <v>170</v>
      </c>
    </row>
    <row r="13" spans="1:2" s="35" customFormat="1" ht="27.95" customHeight="1" x14ac:dyDescent="0.25">
      <c r="A13" s="43" t="s">
        <v>171</v>
      </c>
    </row>
    <row r="14" spans="1:2" s="38" customFormat="1" ht="26.25" x14ac:dyDescent="0.4">
      <c r="A14" s="39" t="s">
        <v>172</v>
      </c>
    </row>
    <row r="15" spans="1:2" ht="75" customHeight="1" x14ac:dyDescent="0.2">
      <c r="A15" s="40" t="s">
        <v>173</v>
      </c>
    </row>
    <row r="16" spans="1:2" ht="90" x14ac:dyDescent="0.2">
      <c r="A16" s="40" t="s">
        <v>174</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2.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6</vt:i4>
      </vt:variant>
    </vt:vector>
  </HeadingPairs>
  <TitlesOfParts>
    <vt:vector size="9" baseType="lpstr">
      <vt:lpstr>Projektplan</vt:lpstr>
      <vt:lpstr>Anforderungen</vt:lpstr>
      <vt:lpstr>Info</vt:lpstr>
      <vt:lpstr>Anzeigewoche</vt:lpstr>
      <vt:lpstr>Projektplan!Drucktitel</vt:lpstr>
      <vt:lpstr>Projektanfang</vt:lpstr>
      <vt:lpstr>Projektplan!task_end</vt:lpstr>
      <vt:lpstr>Projektplan!task_progress</vt:lpstr>
      <vt:lpstr>Projektplan!task_start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2026-10-01T09:58:00Z</dcterms:created>
  <dcterms:modified xsi:type="dcterms:W3CDTF">2026-10-08T08:12:47Z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