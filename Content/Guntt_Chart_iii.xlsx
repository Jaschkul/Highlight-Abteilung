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showObjects="none" filterPrivacy="1" codeName="ThisWorkbook"/>
  <xr:revisionPtr revIDLastSave="731" documentId="13_ncr:1_{F4B7A9DE-D724-4D76-9215-FF6B037D20B3}" xr6:coauthVersionLast="47" xr6:coauthVersionMax="47" xr10:uidLastSave="{FD7CEC00-3801-47BE-8450-D989F9E56F80}"/>
  <bookViews>
    <workbookView xWindow="-120" yWindow="-120" windowWidth="51840" windowHeight="21120" activeTab="1" xr2:uid="{00000000-000D-0000-FFFF-FFFF00000000}"/>
  </bookViews>
  <sheets>
    <sheet name="Projektplan" sheetId="11" r:id="rId1"/>
    <sheet name="Anforderungen" sheetId="13" r:id="rId2"/>
    <sheet name="Info" sheetId="12" r:id="rId3"/>
  </sheets>
  <definedNames>
    <definedName name="Anzeigewoche">Projektplan!$E$4</definedName>
    <definedName name="_xlnm.Print_Titles" localSheetId="0">Projektplan!$4:$6</definedName>
    <definedName name="Heute" localSheetId="0">TODAY()</definedName>
    <definedName name="Projektanfang">Projektplan!$E$3</definedName>
    <definedName name="task_end" localSheetId="0">Projektplan!$F1</definedName>
    <definedName name="task_progress" localSheetId="0">Projektplan!$D1</definedName>
    <definedName name="task_start" localSheetId="0">Projektplan!$E1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3" i="13" l="1"/>
  <c r="I4" i="13"/>
  <c r="I5" i="13"/>
  <c r="I6" i="13"/>
  <c r="I7" i="13"/>
  <c r="I8" i="13"/>
  <c r="I9" i="13"/>
  <c r="I10" i="13"/>
  <c r="I11" i="13"/>
  <c r="I12" i="13"/>
  <c r="I13" i="13"/>
  <c r="I14" i="13"/>
  <c r="I15" i="13"/>
  <c r="I16" i="13"/>
  <c r="I17" i="13"/>
  <c r="I18" i="13"/>
  <c r="I19" i="13"/>
  <c r="I20" i="13"/>
  <c r="I21" i="13"/>
  <c r="I22" i="13"/>
  <c r="I23" i="13"/>
  <c r="I24" i="13"/>
  <c r="I25" i="13"/>
  <c r="I26" i="13"/>
  <c r="I27" i="13"/>
  <c r="I2" i="13"/>
  <c r="E28" i="13"/>
  <c r="G27" i="13"/>
  <c r="G3" i="13"/>
  <c r="G4" i="13"/>
  <c r="G5" i="13"/>
  <c r="G6" i="13"/>
  <c r="G7" i="13"/>
  <c r="G8" i="13"/>
  <c r="G9" i="13"/>
  <c r="G10" i="13"/>
  <c r="G11" i="13"/>
  <c r="G12" i="13"/>
  <c r="G13" i="13"/>
  <c r="G14" i="13"/>
  <c r="G15" i="13"/>
  <c r="G16" i="13"/>
  <c r="G17" i="13"/>
  <c r="G18" i="13"/>
  <c r="G19" i="13"/>
  <c r="G20" i="13"/>
  <c r="G21" i="13"/>
  <c r="G22" i="13"/>
  <c r="G23" i="13"/>
  <c r="G24" i="13"/>
  <c r="G25" i="13"/>
  <c r="G26" i="13"/>
  <c r="G2" i="13"/>
  <c r="H7" i="11"/>
  <c r="I28" i="13" l="1"/>
  <c r="I29" i="13" s="1"/>
  <c r="G28" i="13"/>
  <c r="G29" i="13" s="1"/>
  <c r="E29" i="13"/>
  <c r="E3" i="11"/>
  <c r="H29" i="11" l="1"/>
  <c r="H52" i="11"/>
  <c r="H51" i="11"/>
  <c r="H43" i="11"/>
  <c r="H42" i="11"/>
  <c r="H41" i="11"/>
  <c r="H40" i="11"/>
  <c r="H38" i="11"/>
  <c r="H28" i="11"/>
  <c r="H27" i="11"/>
  <c r="H15" i="11"/>
  <c r="H8" i="11"/>
  <c r="H9" i="11" l="1"/>
  <c r="H39" i="11" l="1"/>
  <c r="H37" i="11"/>
  <c r="H10" i="11"/>
  <c r="H30" i="11"/>
  <c r="H16" i="11"/>
  <c r="H14" i="11"/>
  <c r="H31" i="11" l="1"/>
  <c r="H17" i="11"/>
  <c r="H11" i="11"/>
  <c r="H12" i="11"/>
  <c r="H26" i="11" l="1"/>
  <c r="H19" i="11"/>
  <c r="H18" i="11"/>
</calcChain>
</file>

<file path=xl/sharedStrings.xml><?xml version="1.0" encoding="utf-8"?>
<sst xmlns="http://schemas.openxmlformats.org/spreadsheetml/2006/main" count="256" uniqueCount="190">
  <si>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</si>
  <si>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iii</t>
  </si>
  <si>
    <t>Geben Sie den Firmennamen in Zelle B2 ein.</t>
  </si>
  <si>
    <t>Geben Sie den Namen des Projektleiters in Zelle B3 ein. Geben Sie das Startdatum für das Projekt in Zelle E3 ein. Start des Projekts: Die Bezeichnung steht in Zelle C3.</t>
  </si>
  <si>
    <t>Projektanfang:</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</si>
  <si>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</si>
  <si>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Anzeigewoche:</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</si>
  <si>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</si>
  <si>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</si>
  <si>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AUFGABE</t>
  </si>
  <si>
    <t>ZUGEWIESEN
AN</t>
  </si>
  <si>
    <t>FORTSCHRITT</t>
  </si>
  <si>
    <t>START</t>
  </si>
  <si>
    <t>ENDE</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</si>
  <si>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</si>
  <si>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</si>
  <si>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</si>
  <si>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Projektfundament &amp; Systembasis</t>
  </si>
  <si>
    <t xml:space="preserve">Zelle B9 enthält die Beispielaufgabe „Aufgabe 1“. 
Geben Sie einen neuen Aufgabennamen in Zelle B9 ein.
Geben Sie in Zelle C9 eine Person ein, der die Aufgabe zugewiesen werden soll.
Geben Sie in Zelle D9 den Fortschritt der Aufgabe ein. In der Zelle wird eine Statusanzeige angezeigt, die entsprechend der in der Zelle eingegebenen Zahl schattiert wird. Bei einem Fortschritt von 50 % wäre beispielsweise die Hälfte der Zelle schattiert.
Geben Sie das Anfangsdatum der Aufgabe in Zelle E9 ein.
Geben Sie das Enddatum der Aufgabe in Zelle F9 ein.
Von Zelle I9 bis Zelle BL9 wird eine Statusleiste mit einer entsprechenden Schattierung für die eingegebenen Datumsangaben in Blöcken angezeigt. </t>
  </si>
  <si>
    <t>Projektstruktur</t>
  </si>
  <si>
    <t>L</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</si>
  <si>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</si>
  <si>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DB‑Schema</t>
  </si>
  <si>
    <t>PHP‑Grundgerüst</t>
  </si>
  <si>
    <t>Docker‑Basis</t>
  </si>
  <si>
    <t>DB-Container Volume</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</si>
  <si>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</si>
  <si>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Raspberry-Pi Setup</t>
  </si>
  <si>
    <t>User‑ &amp; Admin‑Funktionen</t>
  </si>
  <si>
    <t>Upload-Handling</t>
  </si>
  <si>
    <t>DB-Insert</t>
  </si>
  <si>
    <t>User-UI Layout</t>
  </si>
  <si>
    <t>U</t>
  </si>
  <si>
    <t>Template-Auswahl</t>
  </si>
  <si>
    <t>Titelblock für Beispielphase</t>
  </si>
  <si>
    <t>Highlight-Formular</t>
  </si>
  <si>
    <t>Admin-Login</t>
  </si>
  <si>
    <t>Pending-Liste</t>
  </si>
  <si>
    <t>Freigeben-Ablehnen</t>
  </si>
  <si>
    <t>Admin-UI Layout</t>
  </si>
  <si>
    <t>Review-Seite</t>
  </si>
  <si>
    <t>Status-Anzeige</t>
  </si>
  <si>
    <t>Monitor‑System &amp; Raspberry‑Tests</t>
  </si>
  <si>
    <t>Monitor-Seite</t>
  </si>
  <si>
    <t>DB-Query</t>
  </si>
  <si>
    <t>Auto-Refresh</t>
  </si>
  <si>
    <t>Slideshow</t>
  </si>
  <si>
    <t>Dies ist eine leere Zeile.</t>
  </si>
  <si>
    <t>Monitor-UI</t>
  </si>
  <si>
    <t>Diese Zeile kennzeichnet das Ende des Projektplans. Geben Sie in dieser Zeile NICHTS EIN. 
Fügen Sie ÜBER dieser Zeile neue Zeilen ein, um mit der Erstellung Ihres Projektplans fortzufahren.</t>
  </si>
  <si>
    <t>Animationen</t>
  </si>
  <si>
    <t>Optimierungen</t>
  </si>
  <si>
    <t>Pi Container Deploy</t>
  </si>
  <si>
    <t>Pi Slideshow Test</t>
  </si>
  <si>
    <t>Pi DB-Test</t>
  </si>
  <si>
    <t>Integration, Tests &amp; Deployment</t>
  </si>
  <si>
    <t>End-to-End-Test</t>
  </si>
  <si>
    <t>Fehlerbehebung</t>
  </si>
  <si>
    <t>Sicherheitschecks</t>
  </si>
  <si>
    <t>UI-Feinschliff</t>
  </si>
  <si>
    <t>Monitor-Optimierung</t>
  </si>
  <si>
    <t>Bugfixing</t>
  </si>
  <si>
    <t>Docker-Umzug Nux</t>
  </si>
  <si>
    <t>DB-Setup</t>
  </si>
  <si>
    <t>Finaltests</t>
  </si>
  <si>
    <t>UI-Finalisierung</t>
  </si>
  <si>
    <t>Präsentation</t>
  </si>
  <si>
    <t>Dokumentation</t>
  </si>
  <si>
    <t>Neue Zeilen ÜBER dieser einfügen</t>
  </si>
  <si>
    <t>Titel</t>
  </si>
  <si>
    <t>Funktionale Anforderung</t>
  </si>
  <si>
    <t>Nicht‑funktionale Anforderung (Performance / Verfügbarkeit / Sicherheit)</t>
  </si>
  <si>
    <t>Prio</t>
  </si>
  <si>
    <t>Das System muss eine klar definierte Projektstruktur besitzen, die Frontend, Backend und Datenbank trennt.</t>
  </si>
  <si>
    <t>Gute Wartbarkeit, klare Modultrennung, geringe Kopplung</t>
  </si>
  <si>
    <t>Hoch</t>
  </si>
  <si>
    <t>Erweiterbarkeit</t>
  </si>
  <si>
    <t>Die Architektur muss so aufgebaut sein, dass neue Module leicht ergänzt werden können.</t>
  </si>
  <si>
    <t>Hohe Skalierbarkeit (alle Abteilungen), modulare Erweiterbarkeit</t>
  </si>
  <si>
    <t>Niedrig</t>
  </si>
  <si>
    <t>Performante DB‑Zugriffe, stabile DB‑Verfügbarkeit, Opensorce</t>
  </si>
  <si>
    <t>Das DB‑Schema muss Tabellen für Abteilung, Highlight, Ranking, Admin enthalten.</t>
  </si>
  <si>
    <t>Optimierte Abfragen, Index‑Nutzung, Datenkonsistenz</t>
  </si>
  <si>
    <t>Persistenz</t>
  </si>
  <si>
    <t>Daten müssen dauerhaft gespeichert werden (DB‑Volume).</t>
  </si>
  <si>
    <t>Hohe Datensicherheit, Ausfallschutz durch persistente Volumes</t>
  </si>
  <si>
    <t>Docker‑Container</t>
  </si>
  <si>
    <t>Das System muss vollständig in Docker‑Containern laufen (Webserver, DB).</t>
  </si>
  <si>
    <t>Hohe Verfügbarkeit durch Container‑Isolation, schnelle Deployments</t>
  </si>
  <si>
    <t>Raspberry‑Pi Deployment</t>
  </si>
  <si>
    <t>Das System muss auf einem Raspberry‑Pi lauffähig sein.</t>
  </si>
  <si>
    <t>Ressourcenoptimiert, stabile Laufzeit, ähnliches system nux</t>
  </si>
  <si>
    <t>Slideshow‑Fähigkeit</t>
  </si>
  <si>
    <t>Der Raspberry‑Pi muss Inhalte als Slideshow anzeigen können.</t>
  </si>
  <si>
    <t>Flüssige Darstellung, geringe Intervalle beim Bildwechsel</t>
  </si>
  <si>
    <t>Mittel</t>
  </si>
  <si>
    <t>Highlight‑Formular</t>
  </si>
  <si>
    <t>User müssen Inhalte über ein Formular einreichen können.</t>
  </si>
  <si>
    <t>Validierung, sichere Übertragung, schnelle Verarbeitung</t>
  </si>
  <si>
    <t>Upload‑Handling Admin</t>
  </si>
  <si>
    <t>Sichere Upload‑Validierung, Schutz vor Malware, stabile Upload‑Performance</t>
  </si>
  <si>
    <t>User‑UI Layout</t>
  </si>
  <si>
    <t>Das User‑Interface muss modern, responsiv und klar strukturiert sein.</t>
  </si>
  <si>
    <t>gute UX</t>
  </si>
  <si>
    <t>Template‑Auswahl</t>
  </si>
  <si>
    <t>User müssen Templates auswählen können.</t>
  </si>
  <si>
    <t>Schnelle Template‑Ladezeiten, stabile UI‑Verfügbarkeit</t>
  </si>
  <si>
    <t>Admin‑Login</t>
  </si>
  <si>
    <t>Admins müssen sich sicher anmelden können.</t>
  </si>
  <si>
    <t>Starke Authentifizierung, Schutz vor Brute‑Force, sichere Sessions</t>
  </si>
  <si>
    <t>Liste</t>
  </si>
  <si>
    <t>Admins müssen alle eingereichten Inhalte in einer Liste sehen können.</t>
  </si>
  <si>
    <t>Schnelle Listen‑Ladezeiten, konsistente Daten</t>
  </si>
  <si>
    <t>Freigeben/Ablehnen</t>
  </si>
  <si>
    <t>Admins müssen Inhalte mit einem Klick freigeben oder ablehnen können.</t>
  </si>
  <si>
    <t>Sofortige Verarbeitung</t>
  </si>
  <si>
    <t>Admin‑UI Layout</t>
  </si>
  <si>
    <t>Das Admin‑UI muss eine klare Übersicht über alle Inhalte bieten.</t>
  </si>
  <si>
    <t>Gute Performance bei vielen Einträgen, stabile UI</t>
  </si>
  <si>
    <t>Review‑Seite</t>
  </si>
  <si>
    <t>Admins müssen Details einer Einreichung prüfen können.</t>
  </si>
  <si>
    <t>Schnelle Detailansicht, sichere Datenübertragung</t>
  </si>
  <si>
    <t>Auto‑Refresh</t>
  </si>
  <si>
    <t>Die Monitor‑Seite muss sich automatisch aktualisieren.</t>
  </si>
  <si>
    <t>Effiziente Abfragen, geringe Serverlast, hohe Verfügbarkeit</t>
  </si>
  <si>
    <t>DB‑Query</t>
  </si>
  <si>
    <t>Das System muss Inhalte effizient abrufen und filtern können.</t>
  </si>
  <si>
    <t>Optimierte Queries, Indexe, schnelle Antwortzeiten</t>
  </si>
  <si>
    <t>Logging</t>
  </si>
  <si>
    <t>Wichtige Aktionen müssen protokolliert werden.</t>
  </si>
  <si>
    <t>Sichere Log‑Speicherung, keine Performance‑Einbrüche</t>
  </si>
  <si>
    <t>Input‑Validation</t>
  </si>
  <si>
    <t>Das System muss Eingaben validieren, um Sicherheitsrisiken zu vermeiden.</t>
  </si>
  <si>
    <t>Schutz vor Injection, sichere Eingaben, stabile Verarbeitung</t>
  </si>
  <si>
    <t>Authentifizierung</t>
  </si>
  <si>
    <t>Das System muss sichere Authentifizierung bieten.</t>
  </si>
  <si>
    <t>Passwort‑Hashing, Session‑Sicherheit, hohe Verfügbarkeit</t>
  </si>
  <si>
    <t>Fehlerbehandlung</t>
  </si>
  <si>
    <t>Das System muss Fehlerzustände erkennen und klar anzeigen.</t>
  </si>
  <si>
    <t>Stabile Fehlerbehandlung, keine Systemabbrüche</t>
  </si>
  <si>
    <t>Vor Deployment müssen alle Funktionen getestet und dokumentiert sein.</t>
  </si>
  <si>
    <t>Hohe Qualität, stabile Releases</t>
  </si>
  <si>
    <t>Technische Dokumentation</t>
  </si>
  <si>
    <t>Das System muss eine technische Dokumentation enthalten.</t>
  </si>
  <si>
    <t>Gute Wartbarkeit, klare Struktur</t>
  </si>
  <si>
    <t>User‑Dokumentation</t>
  </si>
  <si>
    <t>Das System muss eine kurze User‑Dokumentation enthalten.</t>
  </si>
  <si>
    <t>Hohe Usability, klare Anleitungen</t>
  </si>
  <si>
    <t>Rang</t>
  </si>
  <si>
    <t xml:space="preserve">Vergleichbare Software </t>
  </si>
  <si>
    <t>link</t>
  </si>
  <si>
    <t>Kosten</t>
  </si>
  <si>
    <t>yodeck</t>
  </si>
  <si>
    <t>The Best Digital Signage Software in 2026 | Yodeck</t>
  </si>
  <si>
    <t>free</t>
  </si>
  <si>
    <t xml:space="preserve">Free Digital Signage </t>
  </si>
  <si>
    <t>Free Digital Signage Software: First 3 Screens Free Forever</t>
  </si>
  <si>
    <t>Xibo</t>
  </si>
  <si>
    <t>Xibo CMS – Digital Signage Content Management System</t>
  </si>
  <si>
    <t>free selfhostet</t>
  </si>
  <si>
    <t>Screencloud</t>
  </si>
  <si>
    <t>ScreenCloud – Digital Signage Software for Any Screen or TV</t>
  </si>
  <si>
    <t>20€/ Bildschirm/ Monat</t>
  </si>
  <si>
    <t>EINFACHES GANTT-DIAGRAMM von Vertex42.com</t>
  </si>
  <si>
    <t>https://www.vertex42.com/ExcelTemplates/simple-gantt-chart.html</t>
  </si>
  <si>
    <t>Über diese Vorlage</t>
  </si>
  <si>
    <t>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</si>
  <si>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Leitfaden für die Sprachausgabe</t>
  </si>
  <si>
    <t>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</si>
  <si>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Weitere Hilfe</t>
  </si>
  <si>
    <t>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</si>
  <si>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Verwenden des einfachen Gantt-Diagramms</t>
  </si>
  <si>
    <t>Weitere Projektmanagementvorlagen</t>
  </si>
  <si>
    <t>Rufen Sie Vertex42.com auf, um weitere Projektmanagementvorlagen herunterzuladen, einschließlich unterschiedlicher Typen von Projektplänen, Gantt-Diagramme, Aufgabenlisten usw.</t>
  </si>
  <si>
    <t>Projektmanagementvorlagen</t>
  </si>
  <si>
    <t>Informationen zu Vertex42</t>
  </si>
  <si>
    <t>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</si>
  <si>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</si>
  <si>
    <t xml:space="preserve">3 Stk. for free SignStudio-&gt; Sign Player on a Rasberry </t>
  </si>
  <si>
    <t>Bewertung</t>
  </si>
  <si>
    <t>Entwicklung</t>
  </si>
  <si>
    <t>Entwicklung Punkte</t>
  </si>
  <si>
    <t xml:space="preserve">3$/Screen </t>
  </si>
  <si>
    <t>Free Digital Signage  Punkte</t>
  </si>
  <si>
    <t>9$ per Month</t>
  </si>
  <si>
    <t>Summe</t>
  </si>
  <si>
    <t>Prozent</t>
  </si>
  <si>
    <t>DB verwenden</t>
  </si>
  <si>
    <t>Das System muss eine DB‑Datenbank nutzen.</t>
  </si>
  <si>
    <t>User müssen Dateien oder Inhalte uploaden können; Uploads müssen validiert werden.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</si>
</sst>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dd\,\ d/m/yyyy"/>
    <numFmt numFmtId="168" formatCode="d/\ mmm\ yyyy"/>
    <numFmt numFmtId="169" formatCode="dd/mm\ h"/>
    <numFmt numFmtId="170" formatCode="h"/>
    <numFmt numFmtId="171" formatCode="dd/mm/\ h"/>
  </numFmts>
  <fonts count="39"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u/>
      <sz val="11"/>
      <color theme="10"/>
      <name val="Calibri"/>
      <family val="2"/>
      <scheme val="minor"/>
    </font>
    <font>
      <u/>
      <sz val="11"/>
      <color indexed="12"/>
      <name val="Arial"/>
    </font>
    <font>
      <b/>
      <sz val="11"/>
      <color rgb="FF000000"/>
      <name val="Calibri"/>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7" fontId="9" fillId="0" borderId="3">
      <alignment horizontal="center" vertical="center"/>
    </xf>
    <xf numFmtId="166"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4"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5" fillId="0" borderId="0" applyNumberFormat="0" applyFill="0" applyBorder="0" applyAlignment="0" applyProtection="0"/>
    <xf numFmtId="0" fontId="26" fillId="14" borderId="0" applyNumberFormat="0" applyBorder="0" applyAlignment="0" applyProtection="0"/>
    <xf numFmtId="0" fontId="27" fillId="15" borderId="0" applyNumberFormat="0" applyBorder="0" applyAlignment="0" applyProtection="0"/>
    <xf numFmtId="0" fontId="28" fillId="16" borderId="0" applyNumberFormat="0" applyBorder="0" applyAlignment="0" applyProtection="0"/>
    <xf numFmtId="0" fontId="29" fillId="17" borderId="11" applyNumberFormat="0" applyAlignment="0" applyProtection="0"/>
    <xf numFmtId="0" fontId="30" fillId="18" borderId="12" applyNumberFormat="0" applyAlignment="0" applyProtection="0"/>
    <xf numFmtId="0" fontId="31" fillId="18" borderId="11" applyNumberFormat="0" applyAlignment="0" applyProtection="0"/>
    <xf numFmtId="0" fontId="32" fillId="0" borderId="13" applyNumberFormat="0" applyFill="0" applyAlignment="0" applyProtection="0"/>
    <xf numFmtId="0" fontId="33" fillId="19" borderId="14" applyNumberFormat="0" applyAlignment="0" applyProtection="0"/>
    <xf numFmtId="0" fontId="34" fillId="0" borderId="0" applyNumberFormat="0" applyFill="0" applyBorder="0" applyAlignment="0" applyProtection="0"/>
    <xf numFmtId="0" fontId="9" fillId="20" borderId="15" applyNumberFormat="0" applyFont="0" applyAlignment="0" applyProtection="0"/>
    <xf numFmtId="0" fontId="35"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6" fillId="0" borderId="0" applyNumberFormat="0" applyFill="0" applyBorder="0" applyAlignment="0" applyProtection="0"/>
  </cellStyleXfs>
  <cellXfs count="10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5" fillId="0" borderId="0" xfId="0" applyFont="1" applyAlignment="1">
      <alignment vertical="top"/>
    </xf>
    <xf numFmtId="166" fontId="0" fillId="8" borderId="2" xfId="0" applyNumberFormat="1" applyFill="1" applyBorder="1" applyAlignment="1">
      <alignment horizontal="center" vertical="center"/>
    </xf>
    <xf numFmtId="166" fontId="5" fillId="8" borderId="2" xfId="0" applyNumberFormat="1" applyFont="1" applyFill="1" applyBorder="1" applyAlignment="1">
      <alignment horizontal="center" vertical="center"/>
    </xf>
    <xf numFmtId="166" fontId="0" fillId="9" borderId="2" xfId="0" applyNumberFormat="1" applyFill="1" applyBorder="1" applyAlignment="1">
      <alignment horizontal="center" vertical="center"/>
    </xf>
    <xf numFmtId="166" fontId="5" fillId="9" borderId="2" xfId="0" applyNumberFormat="1" applyFont="1" applyFill="1" applyBorder="1" applyAlignment="1">
      <alignment horizontal="center" vertical="center"/>
    </xf>
    <xf numFmtId="166" fontId="0" fillId="6" borderId="2" xfId="0" applyNumberFormat="1" applyFill="1" applyBorder="1" applyAlignment="1">
      <alignment horizontal="center" vertical="center"/>
    </xf>
    <xf numFmtId="166" fontId="5" fillId="6" borderId="2" xfId="0" applyNumberFormat="1" applyFont="1" applyFill="1" applyBorder="1" applyAlignment="1">
      <alignment horizontal="center" vertical="center"/>
    </xf>
    <xf numFmtId="166" fontId="0" fillId="5" borderId="2" xfId="0" applyNumberFormat="1" applyFill="1" applyBorder="1" applyAlignment="1">
      <alignment horizontal="center" vertical="center"/>
    </xf>
    <xf numFmtId="166" fontId="5" fillId="5" borderId="2" xfId="0" applyNumberFormat="1" applyFont="1" applyFill="1" applyBorder="1" applyAlignment="1">
      <alignment horizontal="center" vertical="center"/>
    </xf>
    <xf numFmtId="166" fontId="9" fillId="0" borderId="2" xfId="10">
      <alignment horizontal="center" vertical="center"/>
    </xf>
    <xf numFmtId="166" fontId="4" fillId="2" borderId="2" xfId="0" applyNumberFormat="1" applyFont="1" applyFill="1" applyBorder="1" applyAlignment="1">
      <alignment horizontal="left" vertical="center"/>
    </xf>
    <xf numFmtId="166" fontId="5" fillId="2" borderId="2" xfId="0" applyNumberFormat="1" applyFont="1" applyFill="1" applyBorder="1" applyAlignment="1">
      <alignment horizontal="center" vertical="center"/>
    </xf>
    <xf numFmtId="0" fontId="36" fillId="0" borderId="0" xfId="54" applyAlignment="1" applyProtection="1">
      <alignment vertical="top"/>
    </xf>
    <xf numFmtId="169" fontId="9" fillId="3" borderId="2" xfId="10" applyNumberFormat="1" applyFill="1">
      <alignment horizontal="center" vertical="center"/>
    </xf>
    <xf numFmtId="170" fontId="11" fillId="7" borderId="6" xfId="0" applyNumberFormat="1" applyFont="1" applyFill="1" applyBorder="1" applyAlignment="1">
      <alignment horizontal="center" vertical="center"/>
    </xf>
    <xf numFmtId="170" fontId="12" fillId="12" borderId="8" xfId="0" applyNumberFormat="1" applyFont="1" applyFill="1" applyBorder="1" applyAlignment="1">
      <alignment horizontal="center" vertical="center" shrinkToFit="1"/>
    </xf>
    <xf numFmtId="171" fontId="9" fillId="4" borderId="2" xfId="10" applyNumberFormat="1" applyFill="1">
      <alignment horizontal="center" vertical="center"/>
    </xf>
    <xf numFmtId="171" fontId="9" fillId="11" borderId="2" xfId="10" applyNumberFormat="1" applyFill="1">
      <alignment horizontal="center" vertical="center"/>
    </xf>
    <xf numFmtId="171" fontId="9" fillId="10" borderId="2" xfId="10" applyNumberFormat="1" applyFill="1">
      <alignment horizontal="center" vertical="center"/>
    </xf>
    <xf numFmtId="0" fontId="6" fillId="0" borderId="0" xfId="0" applyFont="1" applyAlignment="1">
      <alignment horizontal="center" vertical="center" wrapText="1"/>
    </xf>
    <xf numFmtId="0" fontId="0" fillId="0" borderId="0" xfId="0" applyAlignment="1">
      <alignment vertical="center" wrapText="1"/>
    </xf>
    <xf numFmtId="0" fontId="36" fillId="0" borderId="0" xfId="54"/>
    <xf numFmtId="0" fontId="37" fillId="0" borderId="0" xfId="54" applyFont="1"/>
    <xf numFmtId="0" fontId="6" fillId="0" borderId="0" xfId="0" applyFont="1"/>
    <xf numFmtId="0" fontId="38" fillId="0" borderId="0" xfId="0" applyFont="1"/>
    <xf numFmtId="0" fontId="9" fillId="0" borderId="0" xfId="8">
      <alignment horizontal="right" indent="1"/>
    </xf>
    <xf numFmtId="0" fontId="9" fillId="0" borderId="7" xfId="8" applyBorder="1">
      <alignment horizontal="right" indent="1"/>
    </xf>
    <xf numFmtId="168" fontId="0" fillId="7" borderId="4" xfId="0" applyNumberFormat="1" applyFill="1" applyBorder="1" applyAlignment="1">
      <alignment horizontal="left" vertical="center" wrapText="1" indent="1"/>
    </xf>
    <xf numFmtId="168" fontId="0" fillId="7" borderId="1" xfId="0" applyNumberFormat="1" applyFill="1" applyBorder="1" applyAlignment="1">
      <alignment horizontal="left" vertical="center" wrapText="1" indent="1"/>
    </xf>
    <xf numFmtId="168" fontId="0" fillId="7" borderId="5" xfId="0" applyNumberFormat="1" applyFill="1" applyBorder="1" applyAlignment="1">
      <alignment horizontal="left" vertical="center" wrapText="1" indent="1"/>
    </xf>
    <xf numFmtId="167" fontId="9" fillId="0" borderId="3" xfId="9">
      <alignment horizontal="center" vertical="center"/>
    </xf>
    <xf numFmtId="0" fontId="0" fillId="0" borderId="0" xfId="0" applyAlignment="1">
      <alignment horizontal="center" vertical="center" wrapText="1"/>
    </xf>
    <xf numFmtId="0" fontId="6" fillId="0" borderId="0" xfId="0" applyFont="1" applyAlignment="1">
      <alignment horizontal="center" vertical="center"/>
    </xf>
    <xf numFmtId="10" fontId="0" fillId="0" borderId="0" xfId="0" applyNumberFormat="1"/>
    <xf numFmtId="0" fontId="0" fillId="0" borderId="0" xfId="0" applyFill="1" applyAlignment="1">
      <alignment vertical="center" wrapText="1"/>
    </xf>
  </cellXfs>
  <cellStyles count="55">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Hyperlink" xfId="54" xr:uid="{00000000-000B-0000-0000-000008000000}"/>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rgb="FFC00000"/>
        </patternFill>
      </fill>
    </dxf>
    <dxf>
      <fill>
        <patternFill>
          <bgColor rgb="FFC00000"/>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Bild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screencloud.com/" TargetMode="External"/><Relationship Id="rId2" Type="http://schemas.openxmlformats.org/officeDocument/2006/relationships/hyperlink" Target="https://xibosignage.com/cms" TargetMode="External"/><Relationship Id="rId1" Type="http://schemas.openxmlformats.org/officeDocument/2006/relationships/hyperlink" Target="https://www.yodeck.com/" TargetMode="External"/><Relationship Id="rId4" Type="http://schemas.openxmlformats.org/officeDocument/2006/relationships/hyperlink" Target="https://digitalsignage.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55"/>
  <sheetViews>
    <sheetView showGridLines="0" showRuler="0" zoomScale="90" zoomScaleNormal="90" zoomScalePageLayoutView="70" workbookViewId="0">
      <pane ySplit="6" topLeftCell="A38" activePane="bottomLeft" state="frozen"/>
      <selection pane="bottomLeft" activeCell="D11" sqref="D11"/>
    </sheetView>
  </sheetViews>
  <sheetFormatPr baseColWidth="10" defaultColWidth="9.140625" defaultRowHeight="30" customHeight="1" x14ac:dyDescent="0.25"/>
  <cols>
    <col min="1" max="1" width="2.7109375" style="45" customWidth="1"/>
    <col min="2" max="2" width="27.14062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64" width="2.5703125" customWidth="1"/>
    <col min="69" max="70" width="10.28515625"/>
  </cols>
  <sheetData>
    <row r="1" spans="1:64" ht="30" customHeight="1" x14ac:dyDescent="0.45">
      <c r="A1" s="46" t="s">
        <v>0</v>
      </c>
      <c r="B1" s="49" t="s">
        <v>1</v>
      </c>
      <c r="C1" s="1"/>
      <c r="D1" s="2"/>
      <c r="E1" s="4"/>
      <c r="F1" s="34"/>
      <c r="H1" s="2"/>
      <c r="I1" s="67"/>
    </row>
    <row r="2" spans="1:64" ht="30" customHeight="1" x14ac:dyDescent="0.3">
      <c r="A2" s="45" t="s">
        <v>2</v>
      </c>
      <c r="B2" s="50"/>
      <c r="I2" s="80"/>
    </row>
    <row r="3" spans="1:64" ht="30" customHeight="1" x14ac:dyDescent="0.25">
      <c r="A3" s="45" t="s">
        <v>3</v>
      </c>
      <c r="B3" s="51"/>
      <c r="C3" s="93" t="s">
        <v>4</v>
      </c>
      <c r="D3" s="94"/>
      <c r="E3" s="98">
        <f ca="1">TODAY()</f>
        <v>46300</v>
      </c>
      <c r="F3" s="98"/>
    </row>
    <row r="4" spans="1:64" ht="30" customHeight="1" x14ac:dyDescent="0.25">
      <c r="A4" s="46" t="s">
        <v>5</v>
      </c>
      <c r="C4" s="93" t="s">
        <v>6</v>
      </c>
      <c r="D4" s="94"/>
      <c r="E4" s="7">
        <v>1</v>
      </c>
      <c r="I4" s="95">
        <v>46296</v>
      </c>
      <c r="J4" s="96"/>
      <c r="K4" s="96"/>
      <c r="L4" s="96"/>
      <c r="M4" s="96"/>
      <c r="N4" s="96"/>
      <c r="O4" s="97"/>
      <c r="P4" s="95">
        <v>46300</v>
      </c>
      <c r="Q4" s="96"/>
      <c r="R4" s="96"/>
      <c r="S4" s="96"/>
      <c r="T4" s="96"/>
      <c r="U4" s="96"/>
      <c r="V4" s="97"/>
      <c r="W4" s="95">
        <v>46301</v>
      </c>
      <c r="X4" s="96"/>
      <c r="Y4" s="96"/>
      <c r="Z4" s="96"/>
      <c r="AA4" s="96"/>
      <c r="AB4" s="96"/>
      <c r="AC4" s="97"/>
      <c r="AD4" s="95">
        <v>46302</v>
      </c>
      <c r="AE4" s="96"/>
      <c r="AF4" s="96"/>
      <c r="AG4" s="96"/>
      <c r="AH4" s="96"/>
      <c r="AI4" s="96"/>
      <c r="AJ4" s="97"/>
      <c r="AK4" s="95">
        <v>46303</v>
      </c>
      <c r="AL4" s="96"/>
      <c r="AM4" s="96"/>
      <c r="AN4" s="96"/>
      <c r="AO4" s="96"/>
      <c r="AP4" s="96"/>
      <c r="AQ4" s="97"/>
      <c r="AR4" s="95">
        <v>46304</v>
      </c>
      <c r="AS4" s="96"/>
      <c r="AT4" s="96"/>
      <c r="AU4" s="96"/>
      <c r="AV4" s="96"/>
      <c r="AW4" s="96"/>
      <c r="AX4" s="97"/>
      <c r="AY4" s="95">
        <v>46305</v>
      </c>
      <c r="AZ4" s="96"/>
      <c r="BA4" s="96"/>
      <c r="BB4" s="96"/>
      <c r="BC4" s="96"/>
      <c r="BD4" s="96"/>
      <c r="BE4" s="97"/>
      <c r="BF4" s="95">
        <v>46306</v>
      </c>
      <c r="BG4" s="96"/>
      <c r="BH4" s="96"/>
      <c r="BI4" s="96"/>
      <c r="BJ4" s="96"/>
      <c r="BK4" s="96"/>
      <c r="BL4" s="97"/>
    </row>
    <row r="5" spans="1:64" ht="15" customHeight="1" x14ac:dyDescent="0.25">
      <c r="A5" s="46" t="s">
        <v>7</v>
      </c>
      <c r="B5" s="66"/>
      <c r="C5" s="66"/>
      <c r="D5" s="66"/>
      <c r="E5" s="66"/>
      <c r="F5" s="66"/>
      <c r="G5" s="66"/>
      <c r="I5" s="82">
        <v>46296.041666666664</v>
      </c>
      <c r="J5" s="82">
        <v>46296.083333333299</v>
      </c>
      <c r="K5" s="82">
        <v>46296.125</v>
      </c>
      <c r="L5" s="82">
        <v>46296.166666666701</v>
      </c>
      <c r="M5" s="82">
        <v>46296.208333333299</v>
      </c>
      <c r="N5" s="82">
        <v>46296.25</v>
      </c>
      <c r="O5" s="82">
        <v>46296.291666666701</v>
      </c>
      <c r="P5" s="82">
        <v>46300.041666666664</v>
      </c>
      <c r="Q5" s="82">
        <v>46300.083333333299</v>
      </c>
      <c r="R5" s="82">
        <v>46300.125</v>
      </c>
      <c r="S5" s="82">
        <v>46300.166666666701</v>
      </c>
      <c r="T5" s="82">
        <v>46300.208333333299</v>
      </c>
      <c r="U5" s="82">
        <v>46300.25</v>
      </c>
      <c r="V5" s="82">
        <v>46300.291666666701</v>
      </c>
      <c r="W5" s="82">
        <v>46301.041666666664</v>
      </c>
      <c r="X5" s="82">
        <v>46301.083333333299</v>
      </c>
      <c r="Y5" s="82">
        <v>46301.125</v>
      </c>
      <c r="Z5" s="82">
        <v>46301.166666666701</v>
      </c>
      <c r="AA5" s="82">
        <v>46301.208333333299</v>
      </c>
      <c r="AB5" s="82">
        <v>46301.25</v>
      </c>
      <c r="AC5" s="82">
        <v>46301.291666666701</v>
      </c>
      <c r="AD5" s="82">
        <v>46302.041666666664</v>
      </c>
      <c r="AE5" s="82">
        <v>46302.083333333299</v>
      </c>
      <c r="AF5" s="82">
        <v>46302.125</v>
      </c>
      <c r="AG5" s="82">
        <v>46302.166666666701</v>
      </c>
      <c r="AH5" s="82">
        <v>46302.208333333299</v>
      </c>
      <c r="AI5" s="82">
        <v>46302.25</v>
      </c>
      <c r="AJ5" s="82">
        <v>46302.291666666701</v>
      </c>
      <c r="AK5" s="82">
        <v>46303.041666666664</v>
      </c>
      <c r="AL5" s="82">
        <v>46303.083333333299</v>
      </c>
      <c r="AM5" s="82">
        <v>46303.125</v>
      </c>
      <c r="AN5" s="82">
        <v>46303.166666666701</v>
      </c>
      <c r="AO5" s="82">
        <v>46303.208333333299</v>
      </c>
      <c r="AP5" s="82">
        <v>46303.25</v>
      </c>
      <c r="AQ5" s="82">
        <v>46303.291666666701</v>
      </c>
      <c r="AR5" s="82">
        <v>46304.041666666664</v>
      </c>
      <c r="AS5" s="82">
        <v>46304.083333333299</v>
      </c>
      <c r="AT5" s="82">
        <v>46304.125</v>
      </c>
      <c r="AU5" s="82">
        <v>46304.166666666701</v>
      </c>
      <c r="AV5" s="82">
        <v>46304.208333333299</v>
      </c>
      <c r="AW5" s="82">
        <v>46304.25</v>
      </c>
      <c r="AX5" s="82">
        <v>46304.291666666701</v>
      </c>
      <c r="AY5" s="82">
        <v>46305.041666666664</v>
      </c>
      <c r="AZ5" s="82">
        <v>46305.083333333299</v>
      </c>
      <c r="BA5" s="82">
        <v>46305.125</v>
      </c>
      <c r="BB5" s="82">
        <v>46305.166666666701</v>
      </c>
      <c r="BC5" s="82">
        <v>46305.208333333299</v>
      </c>
      <c r="BD5" s="82">
        <v>46305.25</v>
      </c>
      <c r="BE5" s="82">
        <v>46305.291666666701</v>
      </c>
      <c r="BF5" s="82">
        <v>46306.041666666664</v>
      </c>
      <c r="BG5" s="82">
        <v>46306.083333333299</v>
      </c>
      <c r="BH5" s="82">
        <v>46306.125</v>
      </c>
      <c r="BI5" s="82">
        <v>46306.166666666701</v>
      </c>
      <c r="BJ5" s="82">
        <v>46306.208333333299</v>
      </c>
      <c r="BK5" s="82">
        <v>46306.25</v>
      </c>
      <c r="BL5" s="82">
        <v>46306.291666666701</v>
      </c>
    </row>
    <row r="6" spans="1:64" ht="30" customHeight="1" thickBot="1" x14ac:dyDescent="0.3">
      <c r="A6" s="46" t="s">
        <v>8</v>
      </c>
      <c r="B6" s="8" t="s">
        <v>9</v>
      </c>
      <c r="C6" s="9" t="s">
        <v>10</v>
      </c>
      <c r="D6" s="9" t="s">
        <v>11</v>
      </c>
      <c r="E6" s="9" t="s">
        <v>12</v>
      </c>
      <c r="F6" s="9" t="s">
        <v>13</v>
      </c>
      <c r="G6" s="9"/>
      <c r="H6" s="9" t="s">
        <v>14</v>
      </c>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83"/>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row>
    <row r="7" spans="1:64" ht="30" hidden="1" customHeight="1" thickBot="1" x14ac:dyDescent="0.3">
      <c r="A7" s="45" t="s">
        <v>15</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3">
      <c r="A8" s="46" t="s">
        <v>16</v>
      </c>
      <c r="B8" s="15" t="s">
        <v>17</v>
      </c>
      <c r="C8" s="52"/>
      <c r="D8" s="16"/>
      <c r="E8" s="69"/>
      <c r="F8" s="70"/>
      <c r="G8" s="14"/>
      <c r="H8" s="14" t="str">
        <f t="shared" ref="H8:H52" si="0">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
      <c r="A9" s="46" t="s">
        <v>18</v>
      </c>
      <c r="B9" s="61" t="s">
        <v>19</v>
      </c>
      <c r="C9" s="53" t="s">
        <v>20</v>
      </c>
      <c r="D9" s="17">
        <v>0.5</v>
      </c>
      <c r="E9" s="81">
        <v>46296.041666666664</v>
      </c>
      <c r="F9" s="81">
        <v>46296.125</v>
      </c>
      <c r="G9" s="14"/>
      <c r="H9" s="14">
        <f t="shared" si="0"/>
        <v>1.0833333333357587</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
      <c r="A10" s="46" t="s">
        <v>21</v>
      </c>
      <c r="B10" s="61" t="s">
        <v>22</v>
      </c>
      <c r="C10" s="53" t="s">
        <v>20</v>
      </c>
      <c r="D10" s="17">
        <v>0.5</v>
      </c>
      <c r="E10" s="81">
        <v>46296.125</v>
      </c>
      <c r="F10" s="81">
        <v>46296.208333333336</v>
      </c>
      <c r="G10" s="14"/>
      <c r="H10" s="14">
        <f t="shared" si="0"/>
        <v>1.0833333333357587</v>
      </c>
      <c r="I10" s="31"/>
      <c r="J10" s="31"/>
      <c r="K10" s="31"/>
      <c r="L10" s="31"/>
      <c r="M10" s="31"/>
      <c r="N10" s="31"/>
      <c r="O10" s="31"/>
      <c r="P10" s="31"/>
      <c r="Q10" s="31"/>
      <c r="R10" s="31"/>
      <c r="S10" s="31"/>
      <c r="T10" s="31"/>
      <c r="U10" s="32"/>
      <c r="V10" s="32"/>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3">
      <c r="A11" s="45"/>
      <c r="B11" s="61" t="s">
        <v>23</v>
      </c>
      <c r="C11" s="53" t="s">
        <v>20</v>
      </c>
      <c r="D11" s="17">
        <v>0.5</v>
      </c>
      <c r="E11" s="81">
        <v>46296.208333333336</v>
      </c>
      <c r="F11" s="81">
        <v>46296.291666666664</v>
      </c>
      <c r="G11" s="14"/>
      <c r="H11" s="14">
        <f t="shared" si="0"/>
        <v>1.0833333333284827</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thickBot="1" x14ac:dyDescent="0.3">
      <c r="A12" s="45"/>
      <c r="B12" s="61" t="s">
        <v>24</v>
      </c>
      <c r="C12" s="53" t="s">
        <v>20</v>
      </c>
      <c r="D12" s="17"/>
      <c r="E12" s="81">
        <v>46296.041666666664</v>
      </c>
      <c r="F12" s="81">
        <v>46296.125</v>
      </c>
      <c r="G12" s="14"/>
      <c r="H12" s="14">
        <f t="shared" si="0"/>
        <v>1.0833333333357587</v>
      </c>
      <c r="I12" s="31"/>
      <c r="J12" s="31"/>
      <c r="K12" s="31"/>
      <c r="L12" s="31"/>
      <c r="M12" s="31"/>
      <c r="N12" s="31"/>
      <c r="O12" s="31"/>
      <c r="P12" s="31"/>
      <c r="Q12" s="31"/>
      <c r="R12" s="31"/>
      <c r="S12" s="31"/>
      <c r="T12" s="31"/>
      <c r="U12" s="31"/>
      <c r="V12" s="31"/>
      <c r="W12" s="31"/>
      <c r="X12" s="31"/>
      <c r="Y12" s="32"/>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thickBot="1" x14ac:dyDescent="0.3">
      <c r="A13" s="45"/>
      <c r="B13" s="64" t="s">
        <v>25</v>
      </c>
      <c r="C13" s="59" t="s">
        <v>20</v>
      </c>
      <c r="D13" s="26"/>
      <c r="E13" s="86">
        <v>46301.125</v>
      </c>
      <c r="F13" s="86">
        <v>46301.208333333336</v>
      </c>
      <c r="G13" s="14"/>
      <c r="H13" s="14"/>
      <c r="I13" s="31"/>
      <c r="J13" s="31"/>
      <c r="K13" s="31"/>
      <c r="L13" s="31"/>
      <c r="M13" s="31"/>
      <c r="N13" s="31"/>
      <c r="O13" s="31"/>
      <c r="P13" s="31"/>
      <c r="Q13" s="31"/>
      <c r="R13" s="31"/>
      <c r="S13" s="31"/>
      <c r="T13" s="31"/>
      <c r="U13" s="31"/>
      <c r="V13" s="31"/>
      <c r="W13" s="31"/>
      <c r="X13" s="31"/>
      <c r="Y13" s="32"/>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customHeight="1" thickBot="1" x14ac:dyDescent="0.3">
      <c r="A14" s="46" t="s">
        <v>26</v>
      </c>
      <c r="B14" s="61" t="s">
        <v>27</v>
      </c>
      <c r="C14" s="53" t="s">
        <v>20</v>
      </c>
      <c r="D14" s="17">
        <v>0.2</v>
      </c>
      <c r="E14" s="81">
        <v>46302.125</v>
      </c>
      <c r="F14" s="81">
        <v>46302.208333333336</v>
      </c>
      <c r="G14" s="14"/>
      <c r="H14" s="14">
        <f t="shared" si="0"/>
        <v>1.0833333333357587</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
      <c r="A15" s="46"/>
      <c r="B15" s="18" t="s">
        <v>28</v>
      </c>
      <c r="C15" s="54"/>
      <c r="D15" s="19"/>
      <c r="E15" s="71"/>
      <c r="F15" s="72"/>
      <c r="G15" s="14"/>
      <c r="H15" s="14" t="str">
        <f t="shared" si="0"/>
        <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
      <c r="A16" s="45"/>
      <c r="B16" s="62" t="s">
        <v>29</v>
      </c>
      <c r="C16" s="55" t="s">
        <v>20</v>
      </c>
      <c r="D16" s="20"/>
      <c r="E16" s="84">
        <v>46300.208333333336</v>
      </c>
      <c r="F16" s="84">
        <v>46300.291666666664</v>
      </c>
      <c r="G16" s="14"/>
      <c r="H16" s="14">
        <f t="shared" si="0"/>
        <v>1.0833333333284827</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
      <c r="A17" s="45"/>
      <c r="B17" s="62" t="s">
        <v>30</v>
      </c>
      <c r="C17" s="55" t="s">
        <v>20</v>
      </c>
      <c r="D17" s="20"/>
      <c r="E17" s="84">
        <v>46300.041666666664</v>
      </c>
      <c r="F17" s="84">
        <v>46300.125</v>
      </c>
      <c r="G17" s="14"/>
      <c r="H17" s="14">
        <f t="shared" si="0"/>
        <v>1.0833333333357587</v>
      </c>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thickBot="1" x14ac:dyDescent="0.3">
      <c r="A18" s="45"/>
      <c r="B18" s="62" t="s">
        <v>31</v>
      </c>
      <c r="C18" s="55" t="s">
        <v>32</v>
      </c>
      <c r="D18" s="20"/>
      <c r="E18" s="84">
        <v>46300.041666666664</v>
      </c>
      <c r="F18" s="84">
        <v>46300.208333333336</v>
      </c>
      <c r="G18" s="14"/>
      <c r="H18" s="14">
        <f t="shared" si="0"/>
        <v>1.1666666666715173</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thickBot="1" x14ac:dyDescent="0.3">
      <c r="A19" s="45"/>
      <c r="B19" s="62" t="s">
        <v>33</v>
      </c>
      <c r="C19" s="55" t="s">
        <v>32</v>
      </c>
      <c r="D19" s="20"/>
      <c r="E19" s="84">
        <v>46300.208333333336</v>
      </c>
      <c r="F19" s="84">
        <v>46300.291666666664</v>
      </c>
      <c r="G19" s="14"/>
      <c r="H19" s="14">
        <f t="shared" si="0"/>
        <v>1.0833333333284827</v>
      </c>
      <c r="I19" s="31"/>
      <c r="J19" s="31"/>
      <c r="K19" s="31"/>
      <c r="L19" s="31"/>
      <c r="M19" s="31"/>
      <c r="N19" s="31"/>
      <c r="O19" s="31"/>
      <c r="P19" s="31"/>
      <c r="Q19" s="31"/>
      <c r="R19" s="31"/>
      <c r="S19" s="31"/>
      <c r="T19" s="31"/>
      <c r="U19" s="31"/>
      <c r="V19" s="31"/>
      <c r="W19" s="31"/>
      <c r="X19" s="31"/>
      <c r="Y19" s="32"/>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3">
      <c r="A20" s="45" t="s">
        <v>34</v>
      </c>
      <c r="B20" s="62" t="s">
        <v>35</v>
      </c>
      <c r="C20" s="55" t="s">
        <v>32</v>
      </c>
      <c r="D20" s="20"/>
      <c r="E20" s="84">
        <v>46300.041666666664</v>
      </c>
      <c r="F20" s="84">
        <v>46300.208333333336</v>
      </c>
      <c r="G20" s="14"/>
      <c r="H20" s="14"/>
      <c r="I20" s="31"/>
      <c r="J20" s="31"/>
      <c r="K20" s="31"/>
      <c r="L20" s="31"/>
      <c r="M20" s="31"/>
      <c r="N20" s="31"/>
      <c r="O20" s="31"/>
      <c r="P20" s="31"/>
      <c r="Q20" s="31"/>
      <c r="R20" s="31"/>
      <c r="S20" s="31"/>
      <c r="T20" s="31"/>
      <c r="U20" s="31"/>
      <c r="V20" s="31"/>
      <c r="W20" s="31"/>
      <c r="X20" s="31"/>
      <c r="Y20" s="32"/>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
      <c r="A21" s="45"/>
      <c r="B21" s="62" t="s">
        <v>36</v>
      </c>
      <c r="C21" s="55" t="s">
        <v>20</v>
      </c>
      <c r="D21" s="20"/>
      <c r="E21" s="84">
        <v>46301.041666666664</v>
      </c>
      <c r="F21" s="84">
        <v>46301.166666666664</v>
      </c>
      <c r="G21" s="14"/>
      <c r="H21" s="14"/>
      <c r="I21" s="31"/>
      <c r="J21" s="31"/>
      <c r="K21" s="31"/>
      <c r="L21" s="31"/>
      <c r="M21" s="31"/>
      <c r="N21" s="31"/>
      <c r="O21" s="31"/>
      <c r="P21" s="31"/>
      <c r="Q21" s="31"/>
      <c r="R21" s="31"/>
      <c r="S21" s="31"/>
      <c r="T21" s="31"/>
      <c r="U21" s="31"/>
      <c r="V21" s="31"/>
      <c r="W21" s="31"/>
      <c r="X21" s="31"/>
      <c r="Y21" s="32"/>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
      <c r="A22" s="45"/>
      <c r="B22" s="62" t="s">
        <v>37</v>
      </c>
      <c r="C22" s="55" t="s">
        <v>20</v>
      </c>
      <c r="D22" s="20"/>
      <c r="E22" s="84">
        <v>46301.166666666664</v>
      </c>
      <c r="F22" s="84">
        <v>46301.25</v>
      </c>
      <c r="G22" s="14"/>
      <c r="H22" s="14"/>
      <c r="I22" s="31"/>
      <c r="J22" s="31"/>
      <c r="K22" s="31"/>
      <c r="L22" s="31"/>
      <c r="M22" s="31"/>
      <c r="N22" s="31"/>
      <c r="O22" s="31"/>
      <c r="P22" s="31"/>
      <c r="Q22" s="31"/>
      <c r="R22" s="31"/>
      <c r="S22" s="31"/>
      <c r="T22" s="31"/>
      <c r="U22" s="31"/>
      <c r="V22" s="31"/>
      <c r="W22" s="31"/>
      <c r="X22" s="31"/>
      <c r="Y22" s="32"/>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
      <c r="A23" s="45"/>
      <c r="B23" s="62" t="s">
        <v>38</v>
      </c>
      <c r="C23" s="55" t="s">
        <v>20</v>
      </c>
      <c r="D23" s="20"/>
      <c r="E23" s="84">
        <v>46301.25</v>
      </c>
      <c r="F23" s="84">
        <v>46301.291666666664</v>
      </c>
      <c r="G23" s="14"/>
      <c r="H23" s="14"/>
      <c r="I23" s="31"/>
      <c r="J23" s="31"/>
      <c r="K23" s="31"/>
      <c r="L23" s="31"/>
      <c r="M23" s="31"/>
      <c r="N23" s="31"/>
      <c r="O23" s="31"/>
      <c r="P23" s="31"/>
      <c r="Q23" s="31"/>
      <c r="R23" s="31"/>
      <c r="S23" s="31"/>
      <c r="T23" s="31"/>
      <c r="U23" s="31"/>
      <c r="V23" s="31"/>
      <c r="W23" s="31"/>
      <c r="X23" s="31"/>
      <c r="Y23" s="32"/>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
      <c r="A24" s="45"/>
      <c r="B24" s="62" t="s">
        <v>39</v>
      </c>
      <c r="C24" s="55" t="s">
        <v>32</v>
      </c>
      <c r="D24" s="20"/>
      <c r="E24" s="84">
        <v>46301.041666666664</v>
      </c>
      <c r="F24" s="84">
        <v>46301.166666666664</v>
      </c>
      <c r="G24" s="14"/>
      <c r="H24" s="14"/>
      <c r="I24" s="31"/>
      <c r="J24" s="31"/>
      <c r="K24" s="31"/>
      <c r="L24" s="31"/>
      <c r="M24" s="31"/>
      <c r="N24" s="31"/>
      <c r="O24" s="31"/>
      <c r="P24" s="31"/>
      <c r="Q24" s="31"/>
      <c r="R24" s="31"/>
      <c r="S24" s="31"/>
      <c r="T24" s="31"/>
      <c r="U24" s="31"/>
      <c r="V24" s="31"/>
      <c r="W24" s="31"/>
      <c r="X24" s="31"/>
      <c r="Y24" s="32"/>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
      <c r="A25" s="45"/>
      <c r="B25" s="62" t="s">
        <v>40</v>
      </c>
      <c r="C25" s="55" t="s">
        <v>32</v>
      </c>
      <c r="D25" s="20"/>
      <c r="E25" s="84">
        <v>46301.166666666664</v>
      </c>
      <c r="F25" s="84">
        <v>46301.291666666664</v>
      </c>
      <c r="G25" s="14"/>
      <c r="H25" s="14"/>
      <c r="I25" s="31"/>
      <c r="J25" s="31"/>
      <c r="K25" s="31"/>
      <c r="L25" s="31"/>
      <c r="M25" s="31"/>
      <c r="N25" s="31"/>
      <c r="O25" s="31"/>
      <c r="P25" s="31"/>
      <c r="Q25" s="31"/>
      <c r="R25" s="31"/>
      <c r="S25" s="31"/>
      <c r="T25" s="31"/>
      <c r="U25" s="31"/>
      <c r="V25" s="31"/>
      <c r="W25" s="31"/>
      <c r="X25" s="31"/>
      <c r="Y25" s="32"/>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
      <c r="A26" s="45" t="s">
        <v>34</v>
      </c>
      <c r="B26" s="62" t="s">
        <v>41</v>
      </c>
      <c r="C26" s="55" t="s">
        <v>32</v>
      </c>
      <c r="D26" s="20"/>
      <c r="E26" s="84">
        <v>46301.041666666664</v>
      </c>
      <c r="F26" s="84">
        <v>46301.125</v>
      </c>
      <c r="G26" s="14"/>
      <c r="H26" s="14">
        <f t="shared" si="0"/>
        <v>1.0833333333357587</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customHeight="1" thickBot="1" x14ac:dyDescent="0.3">
      <c r="A27" s="45"/>
      <c r="B27" s="21" t="s">
        <v>42</v>
      </c>
      <c r="C27" s="56"/>
      <c r="D27" s="22"/>
      <c r="E27" s="73"/>
      <c r="F27" s="74"/>
      <c r="G27" s="14"/>
      <c r="H27" s="14" t="str">
        <f t="shared" si="0"/>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
      <c r="A28" s="45"/>
      <c r="B28" s="63" t="s">
        <v>43</v>
      </c>
      <c r="C28" s="57" t="s">
        <v>32</v>
      </c>
      <c r="D28" s="23"/>
      <c r="E28" s="85">
        <v>46302.041666666664</v>
      </c>
      <c r="F28" s="85">
        <v>46302.166666666664</v>
      </c>
      <c r="G28" s="14"/>
      <c r="H28" s="14">
        <f t="shared" si="0"/>
        <v>1.125</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
      <c r="A29" s="45"/>
      <c r="B29" s="63" t="s">
        <v>44</v>
      </c>
      <c r="C29" s="57" t="s">
        <v>20</v>
      </c>
      <c r="D29" s="23"/>
      <c r="E29" s="85">
        <v>46302.166666666664</v>
      </c>
      <c r="F29" s="85">
        <v>46302.25</v>
      </c>
      <c r="G29" s="14"/>
      <c r="H29" s="14">
        <f t="shared" si="0"/>
        <v>1.0833333333357587</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
      <c r="A30" s="45"/>
      <c r="B30" s="63" t="s">
        <v>45</v>
      </c>
      <c r="C30" s="57" t="s">
        <v>20</v>
      </c>
      <c r="D30" s="23"/>
      <c r="E30" s="85">
        <v>46302.25</v>
      </c>
      <c r="F30" s="85">
        <v>46302.291666666664</v>
      </c>
      <c r="G30" s="14"/>
      <c r="H30" s="14">
        <f t="shared" si="0"/>
        <v>1.0416666666642413</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
      <c r="A31" s="45"/>
      <c r="B31" s="63" t="s">
        <v>46</v>
      </c>
      <c r="C31" s="57" t="s">
        <v>32</v>
      </c>
      <c r="D31" s="23"/>
      <c r="E31" s="85">
        <v>46302.041666666664</v>
      </c>
      <c r="F31" s="85">
        <v>46302.125</v>
      </c>
      <c r="G31" s="14"/>
      <c r="H31" s="14">
        <f t="shared" si="0"/>
        <v>1.0833333333357587</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customHeight="1" thickBot="1" x14ac:dyDescent="0.3">
      <c r="A32" s="45" t="s">
        <v>47</v>
      </c>
      <c r="B32" s="63" t="s">
        <v>48</v>
      </c>
      <c r="C32" s="57" t="s">
        <v>32</v>
      </c>
      <c r="D32" s="23"/>
      <c r="E32" s="85">
        <v>46302.041666666664</v>
      </c>
      <c r="F32" s="85">
        <v>46302.208333333336</v>
      </c>
      <c r="G32" s="14"/>
      <c r="H32" s="14"/>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customHeight="1" thickBot="1" x14ac:dyDescent="0.3">
      <c r="A33" s="46" t="s">
        <v>49</v>
      </c>
      <c r="B33" s="63" t="s">
        <v>50</v>
      </c>
      <c r="C33" s="57" t="s">
        <v>32</v>
      </c>
      <c r="D33" s="23"/>
      <c r="E33" s="85">
        <v>46302.208333333336</v>
      </c>
      <c r="F33" s="85">
        <v>46302.291666666664</v>
      </c>
      <c r="G33" s="14"/>
      <c r="H33" s="14"/>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ht="30" customHeight="1" thickBot="1" x14ac:dyDescent="0.3">
      <c r="B34" s="63" t="s">
        <v>51</v>
      </c>
      <c r="C34" s="57" t="s">
        <v>32</v>
      </c>
      <c r="D34" s="23"/>
      <c r="E34" s="85">
        <v>46302.041666666664</v>
      </c>
      <c r="F34" s="85">
        <v>46302.125</v>
      </c>
      <c r="G34" s="14"/>
      <c r="H34" s="14"/>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row>
    <row r="35" spans="1:64" ht="30" customHeight="1" thickBot="1" x14ac:dyDescent="0.3">
      <c r="B35" s="63" t="s">
        <v>52</v>
      </c>
      <c r="C35" s="57" t="s">
        <v>20</v>
      </c>
      <c r="D35" s="23"/>
      <c r="E35" s="85">
        <v>46303.125</v>
      </c>
      <c r="F35" s="85">
        <v>46303.166666666664</v>
      </c>
      <c r="G35" s="14"/>
      <c r="H35" s="14"/>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row>
    <row r="36" spans="1:64" ht="30" customHeight="1" thickBot="1" x14ac:dyDescent="0.3">
      <c r="B36" s="63" t="s">
        <v>53</v>
      </c>
      <c r="C36" s="57" t="s">
        <v>20</v>
      </c>
      <c r="D36" s="23"/>
      <c r="E36" s="85">
        <v>46303.166666666664</v>
      </c>
      <c r="F36" s="85">
        <v>46303.208333333336</v>
      </c>
      <c r="G36" s="14"/>
      <c r="H36" s="14"/>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row>
    <row r="37" spans="1:64" ht="30" customHeight="1" thickBot="1" x14ac:dyDescent="0.3">
      <c r="B37" s="63" t="s">
        <v>54</v>
      </c>
      <c r="C37" s="57" t="s">
        <v>20</v>
      </c>
      <c r="D37" s="23"/>
      <c r="E37" s="85">
        <v>46303.208333333336</v>
      </c>
      <c r="F37" s="85">
        <v>46303.25</v>
      </c>
      <c r="G37" s="14"/>
      <c r="H37" s="14">
        <f t="shared" si="0"/>
        <v>1.0416666666642413</v>
      </c>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row>
    <row r="38" spans="1:64" ht="30" customHeight="1" thickBot="1" x14ac:dyDescent="0.3">
      <c r="B38" s="24" t="s">
        <v>55</v>
      </c>
      <c r="C38" s="58"/>
      <c r="D38" s="25"/>
      <c r="E38" s="75"/>
      <c r="F38" s="76"/>
      <c r="G38" s="14"/>
      <c r="H38" s="14" t="str">
        <f t="shared" si="0"/>
        <v/>
      </c>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row>
    <row r="39" spans="1:64" ht="30" customHeight="1" thickBot="1" x14ac:dyDescent="0.3">
      <c r="B39" s="64" t="s">
        <v>56</v>
      </c>
      <c r="C39" s="59" t="s">
        <v>20</v>
      </c>
      <c r="D39" s="26"/>
      <c r="E39" s="86">
        <v>46303.041666666664</v>
      </c>
      <c r="F39" s="86">
        <v>46303.166666666664</v>
      </c>
      <c r="G39" s="14"/>
      <c r="H39" s="14">
        <f t="shared" si="0"/>
        <v>1.125</v>
      </c>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row>
    <row r="40" spans="1:64" ht="30" customHeight="1" thickBot="1" x14ac:dyDescent="0.3">
      <c r="B40" s="64" t="s">
        <v>57</v>
      </c>
      <c r="C40" s="59" t="s">
        <v>20</v>
      </c>
      <c r="D40" s="26"/>
      <c r="E40" s="86">
        <v>46303.166666666664</v>
      </c>
      <c r="F40" s="86">
        <v>46303.291666666664</v>
      </c>
      <c r="G40" s="14"/>
      <c r="H40" s="14">
        <f t="shared" si="0"/>
        <v>1.125</v>
      </c>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row>
    <row r="41" spans="1:64" ht="30" customHeight="1" thickBot="1" x14ac:dyDescent="0.3">
      <c r="B41" s="64" t="s">
        <v>58</v>
      </c>
      <c r="C41" s="59" t="s">
        <v>20</v>
      </c>
      <c r="D41" s="26"/>
      <c r="E41" s="86">
        <v>46303.041666666664</v>
      </c>
      <c r="F41" s="86">
        <v>46303.125</v>
      </c>
      <c r="G41" s="14"/>
      <c r="H41" s="14">
        <f t="shared" si="0"/>
        <v>1.0833333333357587</v>
      </c>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row>
    <row r="42" spans="1:64" ht="30" customHeight="1" thickBot="1" x14ac:dyDescent="0.3">
      <c r="B42" s="64" t="s">
        <v>59</v>
      </c>
      <c r="C42" s="59" t="s">
        <v>32</v>
      </c>
      <c r="D42" s="26"/>
      <c r="E42" s="86">
        <v>46303.041666666664</v>
      </c>
      <c r="F42" s="86">
        <v>46303.166666666664</v>
      </c>
      <c r="G42" s="14"/>
      <c r="H42" s="14">
        <f t="shared" si="0"/>
        <v>1.125</v>
      </c>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c r="AS42" s="31"/>
      <c r="AT42" s="31"/>
      <c r="AU42" s="31"/>
      <c r="AV42" s="31"/>
      <c r="AW42" s="31"/>
      <c r="AX42" s="31"/>
      <c r="AY42" s="31"/>
      <c r="AZ42" s="31"/>
      <c r="BA42" s="31"/>
      <c r="BB42" s="31"/>
      <c r="BC42" s="31"/>
      <c r="BD42" s="31"/>
      <c r="BE42" s="31"/>
      <c r="BF42" s="31"/>
      <c r="BG42" s="31"/>
      <c r="BH42" s="31"/>
      <c r="BI42" s="31"/>
      <c r="BJ42" s="31"/>
      <c r="BK42" s="31"/>
      <c r="BL42" s="31"/>
    </row>
    <row r="43" spans="1:64" ht="30" customHeight="1" thickBot="1" x14ac:dyDescent="0.3">
      <c r="B43" s="64" t="s">
        <v>60</v>
      </c>
      <c r="C43" s="59" t="s">
        <v>32</v>
      </c>
      <c r="D43" s="26"/>
      <c r="E43" s="86">
        <v>46303.166666666664</v>
      </c>
      <c r="F43" s="86">
        <v>46303.291666666664</v>
      </c>
      <c r="G43" s="14"/>
      <c r="H43" s="14">
        <f t="shared" si="0"/>
        <v>1.125</v>
      </c>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c r="AS43" s="31"/>
      <c r="AT43" s="31"/>
      <c r="AU43" s="31"/>
      <c r="AV43" s="31"/>
      <c r="AW43" s="31"/>
      <c r="AX43" s="31"/>
      <c r="AY43" s="31"/>
      <c r="AZ43" s="31"/>
      <c r="BA43" s="31"/>
      <c r="BB43" s="31"/>
      <c r="BC43" s="31"/>
      <c r="BD43" s="31"/>
      <c r="BE43" s="31"/>
      <c r="BF43" s="31"/>
      <c r="BG43" s="31"/>
      <c r="BH43" s="31"/>
      <c r="BI43" s="31"/>
      <c r="BJ43" s="31"/>
      <c r="BK43" s="31"/>
      <c r="BL43" s="31"/>
    </row>
    <row r="44" spans="1:64" ht="30" customHeight="1" thickBot="1" x14ac:dyDescent="0.3">
      <c r="B44" s="61" t="s">
        <v>61</v>
      </c>
      <c r="C44" s="53" t="s">
        <v>32</v>
      </c>
      <c r="D44" s="17"/>
      <c r="E44" s="81">
        <v>46303.041666666664</v>
      </c>
      <c r="F44" s="81">
        <v>46303.125</v>
      </c>
      <c r="G44" s="14"/>
      <c r="H44" s="14"/>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c r="AS44" s="31"/>
      <c r="AT44" s="31"/>
      <c r="AU44" s="31"/>
      <c r="AV44" s="31"/>
      <c r="AW44" s="31"/>
      <c r="AX44" s="31"/>
      <c r="AY44" s="31"/>
      <c r="AZ44" s="31"/>
      <c r="BA44" s="31"/>
      <c r="BB44" s="31"/>
      <c r="BC44" s="31"/>
      <c r="BD44" s="31"/>
      <c r="BE44" s="31"/>
      <c r="BF44" s="31"/>
      <c r="BG44" s="31"/>
      <c r="BH44" s="31"/>
      <c r="BI44" s="31"/>
      <c r="BJ44" s="31"/>
      <c r="BK44" s="31"/>
      <c r="BL44" s="31"/>
    </row>
    <row r="45" spans="1:64" ht="30" customHeight="1" thickBot="1" x14ac:dyDescent="0.3">
      <c r="B45" s="61" t="s">
        <v>62</v>
      </c>
      <c r="C45" s="53" t="s">
        <v>20</v>
      </c>
      <c r="D45" s="17"/>
      <c r="E45" s="81">
        <v>46304.041666666664</v>
      </c>
      <c r="F45" s="81">
        <v>46304.166666666664</v>
      </c>
      <c r="G45" s="14"/>
      <c r="H45" s="14"/>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row>
    <row r="46" spans="1:64" ht="30" customHeight="1" thickBot="1" x14ac:dyDescent="0.3">
      <c r="B46" s="61" t="s">
        <v>63</v>
      </c>
      <c r="C46" s="53" t="s">
        <v>20</v>
      </c>
      <c r="D46" s="17"/>
      <c r="E46" s="81">
        <v>46304.166666666664</v>
      </c>
      <c r="F46" s="81">
        <v>46304.25</v>
      </c>
      <c r="G46" s="14"/>
      <c r="H46" s="14"/>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c r="AS46" s="31"/>
      <c r="AT46" s="31"/>
      <c r="AU46" s="31"/>
      <c r="AV46" s="31"/>
      <c r="AW46" s="31"/>
      <c r="AX46" s="31"/>
      <c r="AY46" s="31"/>
      <c r="AZ46" s="31"/>
      <c r="BA46" s="31"/>
      <c r="BB46" s="31"/>
      <c r="BC46" s="31"/>
      <c r="BD46" s="31"/>
      <c r="BE46" s="31"/>
      <c r="BF46" s="31"/>
      <c r="BG46" s="31"/>
      <c r="BH46" s="31"/>
      <c r="BI46" s="31"/>
      <c r="BJ46" s="31"/>
      <c r="BK46" s="31"/>
      <c r="BL46" s="31"/>
    </row>
    <row r="47" spans="1:64" ht="30" customHeight="1" thickBot="1" x14ac:dyDescent="0.3">
      <c r="B47" s="61" t="s">
        <v>64</v>
      </c>
      <c r="C47" s="53" t="s">
        <v>20</v>
      </c>
      <c r="D47" s="17"/>
      <c r="E47" s="81">
        <v>46304.25</v>
      </c>
      <c r="F47" s="81">
        <v>46304.291666666664</v>
      </c>
      <c r="G47" s="14"/>
      <c r="H47" s="14"/>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c r="AS47" s="31"/>
      <c r="AT47" s="31"/>
      <c r="AU47" s="31"/>
      <c r="AV47" s="31"/>
      <c r="AW47" s="31"/>
      <c r="AX47" s="31"/>
      <c r="AY47" s="31"/>
      <c r="AZ47" s="31"/>
      <c r="BA47" s="31"/>
      <c r="BB47" s="31"/>
      <c r="BC47" s="31"/>
      <c r="BD47" s="31"/>
      <c r="BE47" s="31"/>
      <c r="BF47" s="31"/>
      <c r="BG47" s="31"/>
      <c r="BH47" s="31"/>
      <c r="BI47" s="31"/>
      <c r="BJ47" s="31"/>
      <c r="BK47" s="31"/>
      <c r="BL47" s="31"/>
    </row>
    <row r="48" spans="1:64" ht="30" customHeight="1" thickBot="1" x14ac:dyDescent="0.3">
      <c r="B48" s="61" t="s">
        <v>65</v>
      </c>
      <c r="C48" s="53" t="s">
        <v>32</v>
      </c>
      <c r="D48" s="17"/>
      <c r="E48" s="81">
        <v>46304.041666666664</v>
      </c>
      <c r="F48" s="81">
        <v>46304.166666666664</v>
      </c>
      <c r="G48" s="14"/>
      <c r="H48" s="14"/>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c r="AS48" s="31"/>
      <c r="AT48" s="31"/>
      <c r="AU48" s="31"/>
      <c r="AV48" s="31"/>
      <c r="AW48" s="31"/>
      <c r="AX48" s="31"/>
      <c r="AY48" s="31"/>
      <c r="AZ48" s="31"/>
      <c r="BA48" s="31"/>
      <c r="BB48" s="31"/>
      <c r="BC48" s="31"/>
      <c r="BD48" s="31"/>
      <c r="BE48" s="31"/>
      <c r="BF48" s="31"/>
      <c r="BG48" s="31"/>
      <c r="BH48" s="31"/>
      <c r="BI48" s="31"/>
      <c r="BJ48" s="31"/>
      <c r="BK48" s="31"/>
      <c r="BL48" s="31"/>
    </row>
    <row r="49" spans="2:64" ht="30" customHeight="1" thickBot="1" x14ac:dyDescent="0.3">
      <c r="B49" s="61" t="s">
        <v>66</v>
      </c>
      <c r="C49" s="53" t="s">
        <v>32</v>
      </c>
      <c r="D49" s="17"/>
      <c r="E49" s="81">
        <v>46304.166666666664</v>
      </c>
      <c r="F49" s="81">
        <v>46304.291666666664</v>
      </c>
      <c r="G49" s="14"/>
      <c r="H49" s="14"/>
      <c r="I49" s="31"/>
      <c r="J49" s="31"/>
      <c r="K49" s="31"/>
      <c r="L49" s="31"/>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c r="AS49" s="31"/>
      <c r="AT49" s="31"/>
      <c r="AU49" s="31"/>
      <c r="AV49" s="31"/>
      <c r="AW49" s="31"/>
      <c r="AX49" s="31"/>
      <c r="AY49" s="31"/>
      <c r="AZ49" s="31"/>
      <c r="BA49" s="31"/>
      <c r="BB49" s="31"/>
      <c r="BC49" s="31"/>
      <c r="BD49" s="31"/>
      <c r="BE49" s="31"/>
      <c r="BF49" s="31"/>
      <c r="BG49" s="31"/>
      <c r="BH49" s="31"/>
      <c r="BI49" s="31"/>
      <c r="BJ49" s="31"/>
      <c r="BK49" s="31"/>
      <c r="BL49" s="31"/>
    </row>
    <row r="50" spans="2:64" ht="30" customHeight="1" thickBot="1" x14ac:dyDescent="0.3">
      <c r="B50" s="64" t="s">
        <v>67</v>
      </c>
      <c r="C50" s="59" t="s">
        <v>32</v>
      </c>
      <c r="D50" s="26"/>
      <c r="E50" s="86">
        <v>46304.041666666664</v>
      </c>
      <c r="F50" s="86">
        <v>46304.125</v>
      </c>
      <c r="G50" s="14"/>
      <c r="H50" s="14"/>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c r="AS50" s="31"/>
      <c r="AT50" s="31"/>
      <c r="AU50" s="31"/>
      <c r="AV50" s="31"/>
      <c r="AW50" s="31"/>
      <c r="AX50" s="31"/>
      <c r="AY50" s="31"/>
      <c r="AZ50" s="31"/>
      <c r="BA50" s="31"/>
      <c r="BB50" s="31"/>
      <c r="BC50" s="31"/>
      <c r="BD50" s="31"/>
      <c r="BE50" s="31"/>
      <c r="BF50" s="31"/>
      <c r="BG50" s="31"/>
      <c r="BH50" s="31"/>
      <c r="BI50" s="31"/>
      <c r="BJ50" s="31"/>
      <c r="BK50" s="31"/>
      <c r="BL50" s="31"/>
    </row>
    <row r="51" spans="2:64" ht="30" customHeight="1" thickBot="1" x14ac:dyDescent="0.3">
      <c r="B51" s="65"/>
      <c r="C51" s="60"/>
      <c r="D51" s="13"/>
      <c r="E51" s="77"/>
      <c r="F51" s="77"/>
      <c r="G51" s="14"/>
      <c r="H51" s="14" t="str">
        <f t="shared" si="0"/>
        <v/>
      </c>
      <c r="I51" s="31"/>
      <c r="J51" s="31"/>
      <c r="K51" s="31"/>
      <c r="L51" s="31"/>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c r="AS51" s="31"/>
      <c r="AT51" s="31"/>
      <c r="AU51" s="31"/>
      <c r="AV51" s="31"/>
      <c r="AW51" s="31"/>
      <c r="AX51" s="31"/>
      <c r="AY51" s="31"/>
      <c r="AZ51" s="31"/>
      <c r="BA51" s="31"/>
      <c r="BB51" s="31"/>
      <c r="BC51" s="31"/>
      <c r="BD51" s="31"/>
      <c r="BE51" s="31"/>
      <c r="BF51" s="31"/>
      <c r="BG51" s="31"/>
      <c r="BH51" s="31"/>
      <c r="BI51" s="31"/>
      <c r="BJ51" s="31"/>
      <c r="BK51" s="31"/>
      <c r="BL51" s="31"/>
    </row>
    <row r="52" spans="2:64" ht="30" customHeight="1" thickBot="1" x14ac:dyDescent="0.3">
      <c r="B52" s="27" t="s">
        <v>68</v>
      </c>
      <c r="C52" s="28"/>
      <c r="D52" s="29"/>
      <c r="E52" s="78"/>
      <c r="F52" s="79"/>
      <c r="G52" s="30"/>
      <c r="H52" s="30" t="str">
        <f t="shared" si="0"/>
        <v/>
      </c>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row>
    <row r="53" spans="2:64" ht="30" customHeight="1" x14ac:dyDescent="0.25">
      <c r="G53" s="6"/>
    </row>
    <row r="54" spans="2:64" ht="30" customHeight="1" x14ac:dyDescent="0.25">
      <c r="C54" s="11"/>
      <c r="F54" s="47"/>
    </row>
    <row r="55" spans="2:64" ht="30" customHeight="1" x14ac:dyDescent="0.25">
      <c r="C55" s="12"/>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52">
    <cfRule type="dataBar" priority="1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52">
    <cfRule type="expression" dxfId="3" priority="37">
      <formula>AND(TODAY()&gt;=I$5,TODAY()&lt;J$5)</formula>
    </cfRule>
  </conditionalFormatting>
  <conditionalFormatting sqref="I7:BL52">
    <cfRule type="expression" dxfId="2" priority="32">
      <formula>AND(task_end&gt;=I$5,task_start&lt;J$5)</formula>
    </cfRule>
  </conditionalFormatting>
  <dataValidations count="1">
    <dataValidation type="whole" operator="greaterThanOrEqual" allowBlank="1" showInputMessage="1" promptTitle="Woche anzeigen" prompt="Das Ändern dieser Zahl bewirkt ein Scrollen in der Gantt-Diagrammansicht." sqref="E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B49A2-7F0C-4E60-ABE2-E16CC924CEFB}">
  <dimension ref="A1:I39"/>
  <sheetViews>
    <sheetView tabSelected="1" topLeftCell="A4" zoomScale="120" zoomScaleNormal="120" workbookViewId="0">
      <selection activeCell="K12" sqref="K12"/>
    </sheetView>
  </sheetViews>
  <sheetFormatPr baseColWidth="10" defaultColWidth="11.42578125" defaultRowHeight="15" x14ac:dyDescent="0.25"/>
  <cols>
    <col min="1" max="1" width="24.42578125" customWidth="1"/>
    <col min="2" max="2" width="38.140625" customWidth="1"/>
    <col min="3" max="3" width="60" customWidth="1"/>
    <col min="4" max="4" width="14.85546875" customWidth="1"/>
    <col min="5" max="5" width="11.140625" customWidth="1"/>
    <col min="6" max="6" width="13.140625" customWidth="1"/>
    <col min="7" max="8" width="19" bestFit="1" customWidth="1"/>
    <col min="9" max="9" width="25.85546875" bestFit="1" customWidth="1"/>
  </cols>
  <sheetData>
    <row r="1" spans="1:9" ht="45" x14ac:dyDescent="0.25">
      <c r="A1" s="87" t="s">
        <v>69</v>
      </c>
      <c r="B1" s="87" t="s">
        <v>70</v>
      </c>
      <c r="C1" s="87" t="s">
        <v>71</v>
      </c>
      <c r="D1" s="87" t="s">
        <v>72</v>
      </c>
      <c r="E1" s="87" t="s">
        <v>179</v>
      </c>
      <c r="F1" s="87" t="s">
        <v>180</v>
      </c>
      <c r="G1" s="87" t="s">
        <v>181</v>
      </c>
      <c r="H1" s="100" t="s">
        <v>155</v>
      </c>
      <c r="I1" s="87" t="s">
        <v>183</v>
      </c>
    </row>
    <row r="2" spans="1:9" ht="45" x14ac:dyDescent="0.25">
      <c r="A2" s="87" t="s">
        <v>19</v>
      </c>
      <c r="B2" s="88" t="s">
        <v>73</v>
      </c>
      <c r="C2" s="88" t="s">
        <v>74</v>
      </c>
      <c r="D2" s="99" t="s">
        <v>75</v>
      </c>
      <c r="E2">
        <v>5</v>
      </c>
      <c r="F2">
        <v>5</v>
      </c>
      <c r="G2">
        <f>E2*F2</f>
        <v>25</v>
      </c>
      <c r="H2">
        <v>5</v>
      </c>
      <c r="I2">
        <f>E2*H2</f>
        <v>25</v>
      </c>
    </row>
    <row r="3" spans="1:9" ht="45" x14ac:dyDescent="0.25">
      <c r="A3" s="87" t="s">
        <v>76</v>
      </c>
      <c r="B3" s="88" t="s">
        <v>77</v>
      </c>
      <c r="C3" s="88" t="s">
        <v>78</v>
      </c>
      <c r="D3" s="99" t="s">
        <v>79</v>
      </c>
      <c r="E3">
        <v>1</v>
      </c>
      <c r="F3">
        <v>5</v>
      </c>
      <c r="G3">
        <f t="shared" ref="G3:G27" si="0">E3*F3</f>
        <v>5</v>
      </c>
      <c r="H3">
        <v>3</v>
      </c>
      <c r="I3">
        <f t="shared" ref="I3:I27" si="1">E3*H3</f>
        <v>3</v>
      </c>
    </row>
    <row r="4" spans="1:9" ht="30" x14ac:dyDescent="0.25">
      <c r="A4" s="87" t="s">
        <v>187</v>
      </c>
      <c r="B4" s="88" t="s">
        <v>188</v>
      </c>
      <c r="C4" s="88" t="s">
        <v>80</v>
      </c>
      <c r="D4" s="99" t="s">
        <v>95</v>
      </c>
      <c r="E4">
        <v>3</v>
      </c>
      <c r="F4">
        <v>5</v>
      </c>
      <c r="G4">
        <f t="shared" si="0"/>
        <v>15</v>
      </c>
      <c r="H4">
        <v>5</v>
      </c>
      <c r="I4">
        <f t="shared" si="1"/>
        <v>15</v>
      </c>
    </row>
    <row r="5" spans="1:9" ht="45" x14ac:dyDescent="0.25">
      <c r="A5" s="87" t="s">
        <v>22</v>
      </c>
      <c r="B5" s="88" t="s">
        <v>81</v>
      </c>
      <c r="C5" s="88" t="s">
        <v>82</v>
      </c>
      <c r="D5" s="99" t="s">
        <v>75</v>
      </c>
      <c r="E5">
        <v>4</v>
      </c>
      <c r="F5">
        <v>4</v>
      </c>
      <c r="G5">
        <f t="shared" si="0"/>
        <v>16</v>
      </c>
      <c r="H5">
        <v>5</v>
      </c>
      <c r="I5">
        <f t="shared" si="1"/>
        <v>20</v>
      </c>
    </row>
    <row r="6" spans="1:9" ht="30" x14ac:dyDescent="0.25">
      <c r="A6" s="87" t="s">
        <v>83</v>
      </c>
      <c r="B6" s="88" t="s">
        <v>84</v>
      </c>
      <c r="C6" s="88" t="s">
        <v>85</v>
      </c>
      <c r="D6" s="99" t="s">
        <v>95</v>
      </c>
      <c r="E6">
        <v>3</v>
      </c>
      <c r="F6">
        <v>3</v>
      </c>
      <c r="G6">
        <f t="shared" si="0"/>
        <v>9</v>
      </c>
      <c r="H6">
        <v>1</v>
      </c>
      <c r="I6">
        <f t="shared" si="1"/>
        <v>3</v>
      </c>
    </row>
    <row r="7" spans="1:9" ht="45" x14ac:dyDescent="0.25">
      <c r="A7" s="87" t="s">
        <v>86</v>
      </c>
      <c r="B7" s="88" t="s">
        <v>87</v>
      </c>
      <c r="C7" s="88" t="s">
        <v>88</v>
      </c>
      <c r="D7" s="99" t="s">
        <v>75</v>
      </c>
      <c r="E7">
        <v>5</v>
      </c>
      <c r="F7">
        <v>3</v>
      </c>
      <c r="G7">
        <f t="shared" si="0"/>
        <v>15</v>
      </c>
      <c r="H7">
        <v>3</v>
      </c>
      <c r="I7">
        <f t="shared" si="1"/>
        <v>15</v>
      </c>
    </row>
    <row r="8" spans="1:9" ht="30" x14ac:dyDescent="0.25">
      <c r="A8" s="87" t="s">
        <v>89</v>
      </c>
      <c r="B8" s="88" t="s">
        <v>90</v>
      </c>
      <c r="C8" s="88" t="s">
        <v>91</v>
      </c>
      <c r="D8" s="99" t="s">
        <v>75</v>
      </c>
      <c r="E8">
        <v>5</v>
      </c>
      <c r="F8">
        <v>5</v>
      </c>
      <c r="G8">
        <f t="shared" si="0"/>
        <v>25</v>
      </c>
      <c r="H8">
        <v>5</v>
      </c>
      <c r="I8">
        <f t="shared" si="1"/>
        <v>25</v>
      </c>
    </row>
    <row r="9" spans="1:9" ht="30" x14ac:dyDescent="0.25">
      <c r="A9" s="87" t="s">
        <v>92</v>
      </c>
      <c r="B9" s="88" t="s">
        <v>93</v>
      </c>
      <c r="C9" s="88" t="s">
        <v>94</v>
      </c>
      <c r="D9" s="99" t="s">
        <v>95</v>
      </c>
      <c r="E9">
        <v>3</v>
      </c>
      <c r="F9">
        <v>3</v>
      </c>
      <c r="G9">
        <f t="shared" si="0"/>
        <v>9</v>
      </c>
      <c r="H9">
        <v>5</v>
      </c>
      <c r="I9">
        <f t="shared" si="1"/>
        <v>15</v>
      </c>
    </row>
    <row r="10" spans="1:9" ht="30" x14ac:dyDescent="0.25">
      <c r="A10" s="87" t="s">
        <v>96</v>
      </c>
      <c r="B10" s="88" t="s">
        <v>97</v>
      </c>
      <c r="C10" s="88" t="s">
        <v>98</v>
      </c>
      <c r="D10" s="99" t="s">
        <v>75</v>
      </c>
      <c r="E10">
        <v>5</v>
      </c>
      <c r="F10">
        <v>3</v>
      </c>
      <c r="G10">
        <f t="shared" si="0"/>
        <v>15</v>
      </c>
      <c r="H10">
        <v>4</v>
      </c>
      <c r="I10">
        <f t="shared" si="1"/>
        <v>20</v>
      </c>
    </row>
    <row r="11" spans="1:9" ht="45" x14ac:dyDescent="0.25">
      <c r="A11" s="87" t="s">
        <v>99</v>
      </c>
      <c r="B11" s="102" t="s">
        <v>189</v>
      </c>
      <c r="C11" s="88" t="s">
        <v>100</v>
      </c>
      <c r="D11" s="99" t="s">
        <v>75</v>
      </c>
      <c r="E11">
        <v>4</v>
      </c>
      <c r="F11">
        <v>5</v>
      </c>
      <c r="G11">
        <f t="shared" si="0"/>
        <v>20</v>
      </c>
      <c r="H11">
        <v>5</v>
      </c>
      <c r="I11">
        <f t="shared" si="1"/>
        <v>20</v>
      </c>
    </row>
    <row r="12" spans="1:9" ht="30" x14ac:dyDescent="0.25">
      <c r="A12" s="87" t="s">
        <v>101</v>
      </c>
      <c r="B12" s="88" t="s">
        <v>102</v>
      </c>
      <c r="C12" s="88" t="s">
        <v>103</v>
      </c>
      <c r="D12" s="99" t="s">
        <v>75</v>
      </c>
      <c r="E12">
        <v>5</v>
      </c>
      <c r="F12">
        <v>5</v>
      </c>
      <c r="G12">
        <f t="shared" si="0"/>
        <v>25</v>
      </c>
      <c r="H12">
        <v>1</v>
      </c>
      <c r="I12">
        <f t="shared" si="1"/>
        <v>5</v>
      </c>
    </row>
    <row r="13" spans="1:9" ht="30" x14ac:dyDescent="0.25">
      <c r="A13" s="87" t="s">
        <v>104</v>
      </c>
      <c r="B13" s="88" t="s">
        <v>105</v>
      </c>
      <c r="C13" s="88" t="s">
        <v>106</v>
      </c>
      <c r="D13" s="99" t="s">
        <v>95</v>
      </c>
      <c r="E13">
        <v>3</v>
      </c>
      <c r="F13">
        <v>3</v>
      </c>
      <c r="G13">
        <f t="shared" si="0"/>
        <v>9</v>
      </c>
      <c r="H13">
        <v>5</v>
      </c>
      <c r="I13">
        <f t="shared" si="1"/>
        <v>15</v>
      </c>
    </row>
    <row r="14" spans="1:9" ht="30" x14ac:dyDescent="0.25">
      <c r="A14" s="87" t="s">
        <v>107</v>
      </c>
      <c r="B14" s="88" t="s">
        <v>108</v>
      </c>
      <c r="C14" s="88" t="s">
        <v>109</v>
      </c>
      <c r="D14" s="99" t="s">
        <v>75</v>
      </c>
      <c r="E14">
        <v>4</v>
      </c>
      <c r="F14">
        <v>4</v>
      </c>
      <c r="G14">
        <f t="shared" si="0"/>
        <v>16</v>
      </c>
      <c r="H14">
        <v>5</v>
      </c>
      <c r="I14">
        <f t="shared" si="1"/>
        <v>20</v>
      </c>
    </row>
    <row r="15" spans="1:9" ht="30" x14ac:dyDescent="0.25">
      <c r="A15" s="87" t="s">
        <v>110</v>
      </c>
      <c r="B15" s="88" t="s">
        <v>111</v>
      </c>
      <c r="C15" s="88" t="s">
        <v>112</v>
      </c>
      <c r="D15" s="99" t="s">
        <v>95</v>
      </c>
      <c r="E15">
        <v>3</v>
      </c>
      <c r="F15">
        <v>3</v>
      </c>
      <c r="G15">
        <f t="shared" si="0"/>
        <v>9</v>
      </c>
      <c r="H15">
        <v>5</v>
      </c>
      <c r="I15">
        <f t="shared" si="1"/>
        <v>15</v>
      </c>
    </row>
    <row r="16" spans="1:9" ht="30" x14ac:dyDescent="0.25">
      <c r="A16" s="87" t="s">
        <v>113</v>
      </c>
      <c r="B16" s="88" t="s">
        <v>114</v>
      </c>
      <c r="C16" s="88" t="s">
        <v>115</v>
      </c>
      <c r="D16" s="99" t="s">
        <v>75</v>
      </c>
      <c r="E16">
        <v>4</v>
      </c>
      <c r="F16">
        <v>5</v>
      </c>
      <c r="G16">
        <f t="shared" si="0"/>
        <v>20</v>
      </c>
      <c r="H16">
        <v>1</v>
      </c>
      <c r="I16">
        <f t="shared" si="1"/>
        <v>4</v>
      </c>
    </row>
    <row r="17" spans="1:9" ht="30" x14ac:dyDescent="0.25">
      <c r="A17" s="87" t="s">
        <v>116</v>
      </c>
      <c r="B17" s="88" t="s">
        <v>117</v>
      </c>
      <c r="C17" s="88" t="s">
        <v>118</v>
      </c>
      <c r="D17" s="99" t="s">
        <v>95</v>
      </c>
      <c r="E17">
        <v>3</v>
      </c>
      <c r="F17">
        <v>4</v>
      </c>
      <c r="G17">
        <f t="shared" si="0"/>
        <v>12</v>
      </c>
      <c r="H17">
        <v>5</v>
      </c>
      <c r="I17">
        <f t="shared" si="1"/>
        <v>15</v>
      </c>
    </row>
    <row r="18" spans="1:9" ht="30" x14ac:dyDescent="0.25">
      <c r="A18" s="87" t="s">
        <v>119</v>
      </c>
      <c r="B18" s="88" t="s">
        <v>120</v>
      </c>
      <c r="C18" s="88" t="s">
        <v>121</v>
      </c>
      <c r="D18" s="99" t="s">
        <v>79</v>
      </c>
      <c r="E18">
        <v>2</v>
      </c>
      <c r="F18">
        <v>5</v>
      </c>
      <c r="G18">
        <f t="shared" si="0"/>
        <v>10</v>
      </c>
      <c r="H18">
        <v>3</v>
      </c>
      <c r="I18">
        <f t="shared" si="1"/>
        <v>6</v>
      </c>
    </row>
    <row r="19" spans="1:9" ht="30" x14ac:dyDescent="0.25">
      <c r="A19" s="87" t="s">
        <v>122</v>
      </c>
      <c r="B19" s="88" t="s">
        <v>123</v>
      </c>
      <c r="C19" s="88" t="s">
        <v>124</v>
      </c>
      <c r="D19" s="99" t="s">
        <v>75</v>
      </c>
      <c r="E19">
        <v>5</v>
      </c>
      <c r="F19">
        <v>5</v>
      </c>
      <c r="G19">
        <f t="shared" si="0"/>
        <v>25</v>
      </c>
      <c r="H19">
        <v>5</v>
      </c>
      <c r="I19">
        <f t="shared" si="1"/>
        <v>25</v>
      </c>
    </row>
    <row r="20" spans="1:9" ht="30" x14ac:dyDescent="0.25">
      <c r="A20" s="87" t="s">
        <v>125</v>
      </c>
      <c r="B20" s="88" t="s">
        <v>126</v>
      </c>
      <c r="C20" s="88" t="s">
        <v>127</v>
      </c>
      <c r="D20" s="99" t="s">
        <v>75</v>
      </c>
      <c r="E20">
        <v>4</v>
      </c>
      <c r="F20">
        <v>2</v>
      </c>
      <c r="G20">
        <f t="shared" si="0"/>
        <v>8</v>
      </c>
      <c r="H20">
        <v>5</v>
      </c>
      <c r="I20">
        <f t="shared" si="1"/>
        <v>20</v>
      </c>
    </row>
    <row r="21" spans="1:9" ht="30" x14ac:dyDescent="0.25">
      <c r="A21" s="87" t="s">
        <v>128</v>
      </c>
      <c r="B21" s="88" t="s">
        <v>129</v>
      </c>
      <c r="C21" s="88" t="s">
        <v>130</v>
      </c>
      <c r="D21" s="99" t="s">
        <v>79</v>
      </c>
      <c r="E21">
        <v>2</v>
      </c>
      <c r="F21">
        <v>5</v>
      </c>
      <c r="G21">
        <f t="shared" si="0"/>
        <v>10</v>
      </c>
      <c r="H21">
        <v>5</v>
      </c>
      <c r="I21">
        <f t="shared" si="1"/>
        <v>10</v>
      </c>
    </row>
    <row r="22" spans="1:9" ht="30" x14ac:dyDescent="0.25">
      <c r="A22" s="87" t="s">
        <v>131</v>
      </c>
      <c r="B22" s="88" t="s">
        <v>132</v>
      </c>
      <c r="C22" s="88" t="s">
        <v>133</v>
      </c>
      <c r="D22" s="99" t="s">
        <v>75</v>
      </c>
      <c r="E22">
        <v>4</v>
      </c>
      <c r="F22">
        <v>5</v>
      </c>
      <c r="G22">
        <f t="shared" si="0"/>
        <v>20</v>
      </c>
      <c r="H22">
        <v>5</v>
      </c>
      <c r="I22">
        <f t="shared" si="1"/>
        <v>20</v>
      </c>
    </row>
    <row r="23" spans="1:9" ht="30" x14ac:dyDescent="0.25">
      <c r="A23" s="87" t="s">
        <v>134</v>
      </c>
      <c r="B23" s="88" t="s">
        <v>135</v>
      </c>
      <c r="C23" s="88" t="s">
        <v>136</v>
      </c>
      <c r="D23" s="99" t="s">
        <v>75</v>
      </c>
      <c r="E23">
        <v>4</v>
      </c>
      <c r="F23">
        <v>4</v>
      </c>
      <c r="G23">
        <f t="shared" si="0"/>
        <v>16</v>
      </c>
      <c r="H23">
        <v>5</v>
      </c>
      <c r="I23">
        <f t="shared" si="1"/>
        <v>20</v>
      </c>
    </row>
    <row r="24" spans="1:9" ht="30" x14ac:dyDescent="0.25">
      <c r="A24" s="87" t="s">
        <v>137</v>
      </c>
      <c r="B24" s="88" t="s">
        <v>138</v>
      </c>
      <c r="C24" s="88" t="s">
        <v>139</v>
      </c>
      <c r="D24" s="99" t="s">
        <v>95</v>
      </c>
      <c r="E24">
        <v>4</v>
      </c>
      <c r="F24">
        <v>3</v>
      </c>
      <c r="G24">
        <f t="shared" si="0"/>
        <v>12</v>
      </c>
      <c r="H24">
        <v>4</v>
      </c>
      <c r="I24">
        <f t="shared" si="1"/>
        <v>16</v>
      </c>
    </row>
    <row r="25" spans="1:9" ht="30" x14ac:dyDescent="0.25">
      <c r="A25" s="87" t="s">
        <v>64</v>
      </c>
      <c r="B25" s="88" t="s">
        <v>140</v>
      </c>
      <c r="C25" s="88" t="s">
        <v>141</v>
      </c>
      <c r="D25" s="99" t="s">
        <v>75</v>
      </c>
      <c r="E25">
        <v>5</v>
      </c>
      <c r="F25">
        <v>5</v>
      </c>
      <c r="G25">
        <f t="shared" si="0"/>
        <v>25</v>
      </c>
      <c r="H25">
        <v>5</v>
      </c>
      <c r="I25">
        <f t="shared" si="1"/>
        <v>25</v>
      </c>
    </row>
    <row r="26" spans="1:9" ht="30" x14ac:dyDescent="0.25">
      <c r="A26" s="87" t="s">
        <v>142</v>
      </c>
      <c r="B26" s="88" t="s">
        <v>143</v>
      </c>
      <c r="C26" s="88" t="s">
        <v>144</v>
      </c>
      <c r="D26" s="99" t="s">
        <v>95</v>
      </c>
      <c r="E26">
        <v>3</v>
      </c>
      <c r="F26">
        <v>4</v>
      </c>
      <c r="G26">
        <f t="shared" si="0"/>
        <v>12</v>
      </c>
      <c r="H26">
        <v>5</v>
      </c>
      <c r="I26">
        <f t="shared" si="1"/>
        <v>15</v>
      </c>
    </row>
    <row r="27" spans="1:9" ht="30" x14ac:dyDescent="0.25">
      <c r="A27" s="87" t="s">
        <v>145</v>
      </c>
      <c r="B27" s="88" t="s">
        <v>146</v>
      </c>
      <c r="C27" s="88" t="s">
        <v>147</v>
      </c>
      <c r="D27" s="99" t="s">
        <v>95</v>
      </c>
      <c r="E27">
        <v>3</v>
      </c>
      <c r="F27">
        <v>5</v>
      </c>
      <c r="G27">
        <f t="shared" si="0"/>
        <v>15</v>
      </c>
      <c r="H27">
        <v>4</v>
      </c>
      <c r="I27">
        <f t="shared" si="1"/>
        <v>12</v>
      </c>
    </row>
    <row r="28" spans="1:9" x14ac:dyDescent="0.25">
      <c r="D28" t="s">
        <v>185</v>
      </c>
      <c r="E28">
        <f>SUM(E2:E27)*5</f>
        <v>480</v>
      </c>
      <c r="G28">
        <f t="shared" ref="F28:I28" si="2">SUM(G2:G27)</f>
        <v>398</v>
      </c>
      <c r="I28">
        <f t="shared" si="2"/>
        <v>404</v>
      </c>
    </row>
    <row r="29" spans="1:9" x14ac:dyDescent="0.25">
      <c r="D29" s="99" t="s">
        <v>186</v>
      </c>
      <c r="E29" s="101">
        <f>_xlfn.PERCENTOF(E28,E28)</f>
        <v>1</v>
      </c>
      <c r="G29" s="101">
        <f>_xlfn.PERCENTOF(G28,E28)</f>
        <v>0.82916666666666672</v>
      </c>
      <c r="I29" s="101">
        <f>_xlfn.PERCENTOF(I28,E28)</f>
        <v>0.84166666666666667</v>
      </c>
    </row>
    <row r="31" spans="1:9" x14ac:dyDescent="0.25">
      <c r="A31" s="91" t="s">
        <v>148</v>
      </c>
      <c r="B31" s="91" t="s">
        <v>149</v>
      </c>
      <c r="C31" s="91" t="s">
        <v>150</v>
      </c>
      <c r="D31" s="92" t="s">
        <v>151</v>
      </c>
    </row>
    <row r="32" spans="1:9" x14ac:dyDescent="0.25">
      <c r="A32">
        <v>1</v>
      </c>
      <c r="B32" t="s">
        <v>152</v>
      </c>
      <c r="C32" s="89" t="s">
        <v>153</v>
      </c>
      <c r="D32" t="s">
        <v>154</v>
      </c>
    </row>
    <row r="33" spans="1:4" x14ac:dyDescent="0.25">
      <c r="A33">
        <v>2</v>
      </c>
      <c r="B33" t="s">
        <v>155</v>
      </c>
      <c r="C33" s="89" t="s">
        <v>156</v>
      </c>
      <c r="D33" t="s">
        <v>178</v>
      </c>
    </row>
    <row r="34" spans="1:4" x14ac:dyDescent="0.25">
      <c r="A34">
        <v>3</v>
      </c>
      <c r="B34" t="s">
        <v>157</v>
      </c>
      <c r="C34" s="90" t="s">
        <v>158</v>
      </c>
      <c r="D34" t="s">
        <v>159</v>
      </c>
    </row>
    <row r="35" spans="1:4" x14ac:dyDescent="0.25">
      <c r="A35">
        <v>4</v>
      </c>
      <c r="B35" t="s">
        <v>160</v>
      </c>
      <c r="C35" s="89" t="s">
        <v>161</v>
      </c>
      <c r="D35" t="s">
        <v>162</v>
      </c>
    </row>
    <row r="37" spans="1:4" x14ac:dyDescent="0.25">
      <c r="B37" t="s">
        <v>155</v>
      </c>
    </row>
    <row r="38" spans="1:4" x14ac:dyDescent="0.25">
      <c r="B38" t="s">
        <v>182</v>
      </c>
    </row>
    <row r="39" spans="1:4" x14ac:dyDescent="0.25">
      <c r="B39" t="s">
        <v>184</v>
      </c>
    </row>
  </sheetData>
  <conditionalFormatting sqref="A2:I27">
    <cfRule type="containsText" dxfId="1" priority="1" operator="containsText" text="Hoch">
      <formula>NOT(ISERROR(SEARCH("Hoch",A2)))</formula>
    </cfRule>
  </conditionalFormatting>
  <hyperlinks>
    <hyperlink ref="C32" r:id="rId1" xr:uid="{DD38BCE1-6BF3-434C-98C5-02046EEE950E}"/>
    <hyperlink ref="C34" r:id="rId2" xr:uid="{9BFD9163-53A6-4A27-A08B-1E8FBE375FEA}"/>
    <hyperlink ref="C35" r:id="rId3" xr:uid="{6FF16306-C34C-499A-8362-A4450345C376}"/>
    <hyperlink ref="C33" r:id="rId4" xr:uid="{EBACD58D-5E2A-405F-81EA-332CEC23A0AD}"/>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election activeCell="C9" sqref="C9"/>
    </sheetView>
  </sheetViews>
  <sheetFormatPr baseColWidth="10" defaultColWidth="9.140625" defaultRowHeight="12.75" x14ac:dyDescent="0.2"/>
  <cols>
    <col min="1" max="1" width="87.140625" style="35" customWidth="1"/>
    <col min="2" max="16384" width="9.140625" style="2"/>
  </cols>
  <sheetData>
    <row r="1" spans="1:2" ht="46.5" customHeight="1" x14ac:dyDescent="0.2"/>
    <row r="2" spans="1:2" s="37" customFormat="1" ht="15.75" x14ac:dyDescent="0.25">
      <c r="A2" s="36" t="s">
        <v>163</v>
      </c>
      <c r="B2" s="36"/>
    </row>
    <row r="3" spans="1:2" s="41" customFormat="1" ht="27" customHeight="1" x14ac:dyDescent="0.25">
      <c r="A3" s="68" t="s">
        <v>164</v>
      </c>
      <c r="B3" s="42"/>
    </row>
    <row r="4" spans="1:2" s="38" customFormat="1" ht="26.25" x14ac:dyDescent="0.4">
      <c r="A4" s="39" t="s">
        <v>165</v>
      </c>
    </row>
    <row r="5" spans="1:2" ht="74.099999999999994" customHeight="1" x14ac:dyDescent="0.2">
      <c r="A5" s="40" t="s">
        <v>166</v>
      </c>
    </row>
    <row r="6" spans="1:2" ht="26.25" customHeight="1" x14ac:dyDescent="0.2">
      <c r="A6" s="39" t="s">
        <v>167</v>
      </c>
    </row>
    <row r="7" spans="1:2" s="35" customFormat="1" ht="204.95" customHeight="1" x14ac:dyDescent="0.25">
      <c r="A7" s="44" t="s">
        <v>168</v>
      </c>
    </row>
    <row r="8" spans="1:2" s="38" customFormat="1" ht="26.25" x14ac:dyDescent="0.4">
      <c r="A8" s="39" t="s">
        <v>169</v>
      </c>
    </row>
    <row r="9" spans="1:2" ht="75" x14ac:dyDescent="0.2">
      <c r="A9" s="40" t="s">
        <v>170</v>
      </c>
    </row>
    <row r="10" spans="1:2" s="35" customFormat="1" ht="27.95" customHeight="1" x14ac:dyDescent="0.25">
      <c r="A10" s="43" t="s">
        <v>171</v>
      </c>
    </row>
    <row r="11" spans="1:2" s="38" customFormat="1" ht="26.25" x14ac:dyDescent="0.4">
      <c r="A11" s="39" t="s">
        <v>172</v>
      </c>
    </row>
    <row r="12" spans="1:2" ht="45" x14ac:dyDescent="0.2">
      <c r="A12" s="40" t="s">
        <v>173</v>
      </c>
    </row>
    <row r="13" spans="1:2" s="35" customFormat="1" ht="27.95" customHeight="1" x14ac:dyDescent="0.25">
      <c r="A13" s="43" t="s">
        <v>174</v>
      </c>
    </row>
    <row r="14" spans="1:2" s="38" customFormat="1" ht="26.25" x14ac:dyDescent="0.4">
      <c r="A14" s="39" t="s">
        <v>175</v>
      </c>
    </row>
    <row r="15" spans="1:2" ht="75" customHeight="1" x14ac:dyDescent="0.2">
      <c r="A15" s="40" t="s">
        <v>176</v>
      </c>
    </row>
    <row r="16" spans="1:2" ht="90" x14ac:dyDescent="0.2">
      <c r="A16" s="40" t="s">
        <v>177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2.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6</vt:i4>
      </vt:variant>
    </vt:vector>
  </HeadingPairs>
  <TitlesOfParts>
    <vt:vector size="9" baseType="lpstr">
      <vt:lpstr>Projektplan</vt:lpstr>
      <vt:lpstr>Anforderungen</vt:lpstr>
      <vt:lpstr>Info</vt:lpstr>
      <vt:lpstr>Anzeigewoche</vt:lpstr>
      <vt:lpstr>Projektplan!Drucktitel</vt:lpstr>
      <vt:lpstr>Projektanfang</vt:lpstr>
      <vt:lpstr>Projektplan!task_end</vt:lpstr>
      <vt:lpstr>Projektplan!task_progress</vt:lpstr>
      <vt:lpstr>Projektplan!task_start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2026-10-01T09:58:00Z</dcterms:created>
  <dcterms:modified xsi:type="dcterms:W3CDTF">2026-10-05T12:15:04Z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